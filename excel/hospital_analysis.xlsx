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queryTables/queryTable1.xml" ContentType="application/vnd.openxmlformats-officedocument.spreadsheetml.query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Odd Media\Documents\My Portfolio Projects\Hosptal Patient Records Dataset\"/>
    </mc:Choice>
  </mc:AlternateContent>
  <bookViews>
    <workbookView xWindow="0" yWindow="0" windowWidth="19200" windowHeight="7210" activeTab="1"/>
  </bookViews>
  <sheets>
    <sheet name="No. of patients by Age Group" sheetId="5" r:id="rId1"/>
    <sheet name="Patients" sheetId="1" r:id="rId2"/>
    <sheet name="DashBoard" sheetId="6" r:id="rId3"/>
    <sheet name="Summary Metrics" sheetId="2" r:id="rId4"/>
    <sheet name="Pivots" sheetId="3" r:id="rId5"/>
  </sheets>
  <definedNames>
    <definedName name="_xlnm._FilterDatabase" localSheetId="1" hidden="1">Patients!$J$1:$J$985</definedName>
    <definedName name="hospital_data_analysis" localSheetId="1">Patients!$A$1:$J$985</definedName>
    <definedName name="Slicer_Condition">#N/A</definedName>
    <definedName name="Slicer_Gender">#N/A</definedName>
  </definedNames>
  <calcPr calcId="162913"/>
  <pivotCaches>
    <pivotCache cacheId="1" r:id="rId6"/>
    <pivotCache cacheId="1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4" i="6" l="1"/>
  <c r="F14" i="2" l="1"/>
  <c r="F13" i="2"/>
  <c r="F12" i="2"/>
  <c r="F11" i="2"/>
  <c r="F10" i="2"/>
  <c r="B12" i="2"/>
  <c r="B10" i="2"/>
  <c r="F6" i="2"/>
  <c r="F5" i="2"/>
  <c r="F4" i="2"/>
  <c r="F3" i="2"/>
  <c r="F2" i="2"/>
  <c r="E4" i="6" s="1"/>
  <c r="B6" i="2"/>
  <c r="B5" i="2"/>
  <c r="B3" i="2"/>
  <c r="B2" i="2"/>
  <c r="B4" i="6" s="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2" i="1"/>
  <c r="B11" i="2" s="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2" i="1"/>
  <c r="B4" i="2" l="1"/>
  <c r="H4" i="6" s="1"/>
  <c r="N4" i="6"/>
</calcChain>
</file>

<file path=xl/connections.xml><?xml version="1.0" encoding="utf-8"?>
<connections xmlns="http://schemas.openxmlformats.org/spreadsheetml/2006/main">
  <connection id="1" name="hospital data analysis" type="6" refreshedVersion="6" background="1" saveData="1">
    <textPr codePage="850" sourceFile="C:\Users\Odd Media\Documents\My Portfolio Projects\Hosptal Patient Records Dataset\hospital data analysis.csv" decimal="," thousands=" " comma="1">
      <textFields count="10">
        <textField/>
        <textField/>
        <textField/>
        <textField/>
        <textField/>
        <textField/>
        <textField/>
        <textField/>
        <textField/>
        <textField/>
      </textFields>
    </textPr>
  </connection>
</connections>
</file>

<file path=xl/sharedStrings.xml><?xml version="1.0" encoding="utf-8"?>
<sst xmlns="http://schemas.openxmlformats.org/spreadsheetml/2006/main" count="5020" uniqueCount="87">
  <si>
    <t>Patient_ID</t>
  </si>
  <si>
    <t>Age</t>
  </si>
  <si>
    <t>Gender</t>
  </si>
  <si>
    <t>Condition</t>
  </si>
  <si>
    <t>Procedure</t>
  </si>
  <si>
    <t>Cost</t>
  </si>
  <si>
    <t>Length_of_Stay</t>
  </si>
  <si>
    <t>Readmission</t>
  </si>
  <si>
    <t>Outcome</t>
  </si>
  <si>
    <t>Satisfaction</t>
  </si>
  <si>
    <t>Female</t>
  </si>
  <si>
    <t>Heart Disease</t>
  </si>
  <si>
    <t>Angioplasty</t>
  </si>
  <si>
    <t>No</t>
  </si>
  <si>
    <t>Recovered</t>
  </si>
  <si>
    <t>Male</t>
  </si>
  <si>
    <t>Diabetes</t>
  </si>
  <si>
    <t>Insulin Therapy</t>
  </si>
  <si>
    <t>Yes</t>
  </si>
  <si>
    <t>Stable</t>
  </si>
  <si>
    <t>Fractured Arm</t>
  </si>
  <si>
    <t>X-Ray and Splint</t>
  </si>
  <si>
    <t>Stroke</t>
  </si>
  <si>
    <t>CT Scan and Medication</t>
  </si>
  <si>
    <t>Cancer</t>
  </si>
  <si>
    <t>Surgery and Chemotherapy</t>
  </si>
  <si>
    <t>Hypertension</t>
  </si>
  <si>
    <t>Medication and Counseling</t>
  </si>
  <si>
    <t>Appendicitis</t>
  </si>
  <si>
    <t>Appendectomy</t>
  </si>
  <si>
    <t>Fractured Leg</t>
  </si>
  <si>
    <t>Cast and Physical Therapy</t>
  </si>
  <si>
    <t>Heart Attack</t>
  </si>
  <si>
    <t>Cardiac Catheterization</t>
  </si>
  <si>
    <t>Allergic Reaction</t>
  </si>
  <si>
    <t>Epinephrine Injection</t>
  </si>
  <si>
    <t>Respiratory Infection</t>
  </si>
  <si>
    <t>Antibiotics and Rest</t>
  </si>
  <si>
    <t>Prostate Cancer</t>
  </si>
  <si>
    <t>Radiation Therapy</t>
  </si>
  <si>
    <t>Childbirth</t>
  </si>
  <si>
    <t>Delivery and Postnatal Care</t>
  </si>
  <si>
    <t>Kidney Stones</t>
  </si>
  <si>
    <t>Lithotripsy</t>
  </si>
  <si>
    <t>Osteoarthritis</t>
  </si>
  <si>
    <t>Physical Therapy and Pain Management</t>
  </si>
  <si>
    <t>Age Group</t>
  </si>
  <si>
    <t>Cost Tier</t>
  </si>
  <si>
    <t>High Satisfaction</t>
  </si>
  <si>
    <t>Total Patients</t>
  </si>
  <si>
    <t>Total Readmissions</t>
  </si>
  <si>
    <t>Readmission Rate</t>
  </si>
  <si>
    <t>Recovered Count</t>
  </si>
  <si>
    <t>Female Count</t>
  </si>
  <si>
    <t>Count &amp; Percentages</t>
  </si>
  <si>
    <t>Averages</t>
  </si>
  <si>
    <t>Avg Cost</t>
  </si>
  <si>
    <t>Avg Satisfaction(Stable)</t>
  </si>
  <si>
    <t>Avg Satisfaction(Recovered)</t>
  </si>
  <si>
    <t>Avg Cost or Females</t>
  </si>
  <si>
    <t>Avg Cost for Cancer Patients</t>
  </si>
  <si>
    <t>COUNTIFS (Multiple Criteria)</t>
  </si>
  <si>
    <t>Female patients who were readmitted</t>
  </si>
  <si>
    <t>High Cost and Not Recovered</t>
  </si>
  <si>
    <t>Patients aged 60+ with satisfaction &gt;= 4</t>
  </si>
  <si>
    <t>Condition_Name</t>
  </si>
  <si>
    <t>Grand Total</t>
  </si>
  <si>
    <t>Average of Cost</t>
  </si>
  <si>
    <t>Cost by Condition</t>
  </si>
  <si>
    <t>Count of Readmission</t>
  </si>
  <si>
    <t>Readmission Analysis</t>
  </si>
  <si>
    <t>Average of Satisfaction</t>
  </si>
  <si>
    <t>Satisfaction by Outcome</t>
  </si>
  <si>
    <t>18-29</t>
  </si>
  <si>
    <t>30-44</t>
  </si>
  <si>
    <t>45-59</t>
  </si>
  <si>
    <t>60-74</t>
  </si>
  <si>
    <t>75+</t>
  </si>
  <si>
    <t>Demographics Summary</t>
  </si>
  <si>
    <t>No. of Patients</t>
  </si>
  <si>
    <t>Count of Length_of_Stay</t>
  </si>
  <si>
    <t>No. of Patient_ID</t>
  </si>
  <si>
    <t>Hospital Patient Analysis</t>
  </si>
  <si>
    <t>Average Cost</t>
  </si>
  <si>
    <t>Average Satisfaction</t>
  </si>
  <si>
    <t>% Recovered</t>
  </si>
  <si>
    <t xml:space="preserve">Readmission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</si>
</sst>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
    <numFmt numFmtId="165" formatCode="_-[$$-409]* #,##0.00_ ;_-[$$-409]* \-#,##0.00\ ;_-[$$-409]* &quot;-&quot;??_ ;_-@_ "/>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sz val="10"/>
      <color rgb="FF3A3A3A"/>
      <name val="Arial"/>
      <family val="2"/>
    </font>
    <font>
      <sz val="11"/>
      <name val="Calibri"/>
      <family val="2"/>
    </font>
    <font>
      <b/>
      <sz val="14"/>
      <color theme="1"/>
      <name val="Calibri"/>
      <family val="2"/>
      <scheme val="minor"/>
    </font>
    <font>
      <sz val="11"/>
      <color theme="1"/>
      <name val="Segoe UI"/>
      <family val="2"/>
    </font>
    <font>
      <sz val="16"/>
      <color theme="0"/>
      <name val="Segoe UI"/>
      <family val="2"/>
    </font>
    <font>
      <sz val="14"/>
      <color theme="0"/>
      <name val="Segoe UI"/>
      <family val="2"/>
    </font>
  </fonts>
  <fills count="7">
    <fill>
      <patternFill patternType="none"/>
    </fill>
    <fill>
      <patternFill patternType="gray125"/>
    </fill>
    <fill>
      <patternFill patternType="solid">
        <fgColor theme="8"/>
        <bgColor indexed="64"/>
      </patternFill>
    </fill>
    <fill>
      <patternFill patternType="solid">
        <fgColor theme="9"/>
        <bgColor indexed="64"/>
      </patternFill>
    </fill>
    <fill>
      <patternFill patternType="solid">
        <fgColor theme="4" tint="-0.249977111117893"/>
        <bgColor indexed="64"/>
      </patternFill>
    </fill>
    <fill>
      <patternFill patternType="solid">
        <fgColor rgb="FFFF3737"/>
        <bgColor indexed="64"/>
      </patternFill>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23">
    <xf numFmtId="0" fontId="0" fillId="0" borderId="0" xfId="0"/>
    <xf numFmtId="0" fontId="3" fillId="0" borderId="0" xfId="0" applyFont="1"/>
    <xf numFmtId="164" fontId="0" fillId="0" borderId="0" xfId="1" applyNumberFormat="1" applyFont="1"/>
    <xf numFmtId="0" fontId="2" fillId="0" borderId="0" xfId="0" applyFont="1"/>
    <xf numFmtId="165" fontId="0" fillId="0" borderId="0" xfId="0" applyNumberFormat="1"/>
    <xf numFmtId="2" fontId="0" fillId="0" borderId="0" xfId="0" applyNumberFormat="1"/>
    <xf numFmtId="0" fontId="4" fillId="0" borderId="0" xfId="0" applyFont="1"/>
    <xf numFmtId="0" fontId="0" fillId="0" borderId="0" xfId="0" pivotButton="1"/>
    <xf numFmtId="0" fontId="0" fillId="0" borderId="0" xfId="0" applyAlignment="1">
      <alignment horizontal="left"/>
    </xf>
    <xf numFmtId="0" fontId="0" fillId="0" borderId="0" xfId="0" applyNumberFormat="1"/>
    <xf numFmtId="9" fontId="0" fillId="0" borderId="0" xfId="0" applyNumberFormat="1"/>
    <xf numFmtId="0" fontId="5" fillId="0" borderId="0" xfId="0" applyFont="1" applyAlignment="1">
      <alignment horizontal="center"/>
    </xf>
    <xf numFmtId="0" fontId="6" fillId="0" borderId="0" xfId="0" applyFont="1"/>
    <xf numFmtId="0" fontId="7" fillId="2" borderId="0" xfId="0" applyFont="1" applyFill="1" applyAlignment="1">
      <alignment horizontal="center"/>
    </xf>
    <xf numFmtId="0" fontId="8" fillId="4" borderId="0" xfId="0" applyFont="1" applyFill="1" applyAlignment="1">
      <alignment horizontal="center"/>
    </xf>
    <xf numFmtId="0" fontId="8" fillId="3" borderId="0" xfId="0" applyFont="1" applyFill="1" applyAlignment="1">
      <alignment horizontal="center"/>
    </xf>
    <xf numFmtId="165" fontId="8" fillId="3" borderId="0" xfId="0" applyNumberFormat="1" applyFont="1" applyFill="1" applyAlignment="1">
      <alignment horizontal="center"/>
    </xf>
    <xf numFmtId="0" fontId="8" fillId="2" borderId="0" xfId="0" applyFont="1" applyFill="1" applyAlignment="1">
      <alignment horizontal="center"/>
    </xf>
    <xf numFmtId="167" fontId="8" fillId="3" borderId="0" xfId="0" applyNumberFormat="1" applyFont="1" applyFill="1" applyAlignment="1">
      <alignment horizontal="center"/>
    </xf>
    <xf numFmtId="0" fontId="8" fillId="5" borderId="0" xfId="0" applyFont="1" applyFill="1" applyAlignment="1">
      <alignment horizontal="center"/>
    </xf>
    <xf numFmtId="9" fontId="8" fillId="5" borderId="0" xfId="1" applyNumberFormat="1" applyFont="1" applyFill="1" applyAlignment="1">
      <alignment horizontal="center"/>
    </xf>
    <xf numFmtId="9" fontId="8" fillId="2" borderId="0" xfId="1" applyNumberFormat="1" applyFont="1" applyFill="1" applyAlignment="1">
      <alignment horizontal="center"/>
    </xf>
    <xf numFmtId="0" fontId="7" fillId="6" borderId="0" xfId="0" applyFont="1" applyFill="1" applyAlignment="1"/>
  </cellXfs>
  <cellStyles count="2">
    <cellStyle name="Normal" xfId="0" builtinId="0"/>
    <cellStyle name="Percent" xfId="1" builtinId="5"/>
  </cellStyles>
  <dxfs count="10">
    <dxf>
      <numFmt numFmtId="13" formatCode="0%"/>
    </dxf>
    <dxf>
      <numFmt numFmtId="13" formatCode="0%"/>
    </dxf>
    <dxf>
      <numFmt numFmtId="2" formatCode="0.00"/>
    </dxf>
    <dxf>
      <numFmt numFmtId="2" formatCode="0.00"/>
    </dxf>
    <dxf>
      <numFmt numFmtId="13" formatCode="0%"/>
    </dxf>
    <dxf>
      <numFmt numFmtId="13" formatCode="0%"/>
    </dxf>
    <dxf>
      <numFmt numFmtId="13" formatCode="0%"/>
    </dxf>
    <dxf>
      <numFmt numFmtId="13" formatCode="0%"/>
    </dxf>
    <dxf>
      <numFmt numFmtId="2" formatCode="0.00"/>
    </dxf>
    <dxf>
      <numFmt numFmtId="2" formatCode="0.00"/>
    </dxf>
  </dxfs>
  <tableStyles count="0" defaultTableStyle="TableStyleMedium2" defaultPivotStyle="PivotStyleLight16"/>
  <colors>
    <mruColors>
      <color rgb="FFFB5B76"/>
      <color rgb="FFFF37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 VS Cost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Patients!$F$1</c:f>
              <c:strCache>
                <c:ptCount val="1"/>
                <c:pt idx="0">
                  <c:v>Cost</c:v>
                </c:pt>
              </c:strCache>
            </c:strRef>
          </c:tx>
          <c:spPr>
            <a:ln w="25400" cap="rnd">
              <a:noFill/>
              <a:round/>
            </a:ln>
            <a:effectLst/>
          </c:spPr>
          <c:marker>
            <c:symbol val="circle"/>
            <c:size val="5"/>
            <c:spPr>
              <a:solidFill>
                <a:schemeClr val="accent1"/>
              </a:solidFill>
              <a:ln w="9525">
                <a:solidFill>
                  <a:schemeClr val="accent1"/>
                </a:solidFill>
              </a:ln>
              <a:effectLst/>
            </c:spPr>
          </c:marker>
          <c:xVal>
            <c:numRef>
              <c:f>Patients!$B$2:$B$985</c:f>
              <c:numCache>
                <c:formatCode>General</c:formatCode>
                <c:ptCount val="984"/>
                <c:pt idx="0">
                  <c:v>45</c:v>
                </c:pt>
                <c:pt idx="1">
                  <c:v>60</c:v>
                </c:pt>
                <c:pt idx="2">
                  <c:v>32</c:v>
                </c:pt>
                <c:pt idx="3">
                  <c:v>75</c:v>
                </c:pt>
                <c:pt idx="4">
                  <c:v>50</c:v>
                </c:pt>
                <c:pt idx="5">
                  <c:v>68</c:v>
                </c:pt>
                <c:pt idx="6">
                  <c:v>55</c:v>
                </c:pt>
                <c:pt idx="7">
                  <c:v>40</c:v>
                </c:pt>
                <c:pt idx="8">
                  <c:v>70</c:v>
                </c:pt>
                <c:pt idx="9">
                  <c:v>25</c:v>
                </c:pt>
                <c:pt idx="10">
                  <c:v>48</c:v>
                </c:pt>
                <c:pt idx="11">
                  <c:v>65</c:v>
                </c:pt>
                <c:pt idx="12">
                  <c:v>30</c:v>
                </c:pt>
                <c:pt idx="13">
                  <c:v>52</c:v>
                </c:pt>
                <c:pt idx="14">
                  <c:v>58</c:v>
                </c:pt>
                <c:pt idx="15">
                  <c:v>55</c:v>
                </c:pt>
                <c:pt idx="16">
                  <c:v>62</c:v>
                </c:pt>
                <c:pt idx="17">
                  <c:v>35</c:v>
                </c:pt>
                <c:pt idx="18">
                  <c:v>78</c:v>
                </c:pt>
                <c:pt idx="19">
                  <c:v>53</c:v>
                </c:pt>
                <c:pt idx="20">
                  <c:v>72</c:v>
                </c:pt>
                <c:pt idx="21">
                  <c:v>60</c:v>
                </c:pt>
                <c:pt idx="22">
                  <c:v>45</c:v>
                </c:pt>
                <c:pt idx="23">
                  <c:v>75</c:v>
                </c:pt>
                <c:pt idx="24">
                  <c:v>28</c:v>
                </c:pt>
                <c:pt idx="25">
                  <c:v>52</c:v>
                </c:pt>
                <c:pt idx="26">
                  <c:v>67</c:v>
                </c:pt>
                <c:pt idx="27">
                  <c:v>35</c:v>
                </c:pt>
                <c:pt idx="28">
                  <c:v>50</c:v>
                </c:pt>
                <c:pt idx="29">
                  <c:v>60</c:v>
                </c:pt>
                <c:pt idx="30">
                  <c:v>48</c:v>
                </c:pt>
                <c:pt idx="31">
                  <c:v>65</c:v>
                </c:pt>
                <c:pt idx="32">
                  <c:v>30</c:v>
                </c:pt>
                <c:pt idx="33">
                  <c:v>70</c:v>
                </c:pt>
                <c:pt idx="34">
                  <c:v>55</c:v>
                </c:pt>
                <c:pt idx="35">
                  <c:v>68</c:v>
                </c:pt>
                <c:pt idx="36">
                  <c:v>45</c:v>
                </c:pt>
                <c:pt idx="37">
                  <c:v>40</c:v>
                </c:pt>
                <c:pt idx="38">
                  <c:v>78</c:v>
                </c:pt>
                <c:pt idx="39">
                  <c:v>25</c:v>
                </c:pt>
                <c:pt idx="40">
                  <c:v>52</c:v>
                </c:pt>
                <c:pt idx="41">
                  <c:v>58</c:v>
                </c:pt>
                <c:pt idx="42">
                  <c:v>32</c:v>
                </c:pt>
                <c:pt idx="43">
                  <c:v>55</c:v>
                </c:pt>
                <c:pt idx="44">
                  <c:v>65</c:v>
                </c:pt>
                <c:pt idx="45">
                  <c:v>55</c:v>
                </c:pt>
                <c:pt idx="46">
                  <c:v>62</c:v>
                </c:pt>
                <c:pt idx="47">
                  <c:v>35</c:v>
                </c:pt>
                <c:pt idx="48">
                  <c:v>78</c:v>
                </c:pt>
                <c:pt idx="49">
                  <c:v>53</c:v>
                </c:pt>
                <c:pt idx="50">
                  <c:v>72</c:v>
                </c:pt>
                <c:pt idx="51">
                  <c:v>60</c:v>
                </c:pt>
                <c:pt idx="52">
                  <c:v>45</c:v>
                </c:pt>
                <c:pt idx="53">
                  <c:v>75</c:v>
                </c:pt>
                <c:pt idx="54">
                  <c:v>28</c:v>
                </c:pt>
                <c:pt idx="55">
                  <c:v>52</c:v>
                </c:pt>
                <c:pt idx="56">
                  <c:v>67</c:v>
                </c:pt>
                <c:pt idx="57">
                  <c:v>35</c:v>
                </c:pt>
                <c:pt idx="58">
                  <c:v>50</c:v>
                </c:pt>
                <c:pt idx="59">
                  <c:v>48</c:v>
                </c:pt>
                <c:pt idx="60">
                  <c:v>65</c:v>
                </c:pt>
                <c:pt idx="61">
                  <c:v>30</c:v>
                </c:pt>
                <c:pt idx="62">
                  <c:v>70</c:v>
                </c:pt>
                <c:pt idx="63">
                  <c:v>55</c:v>
                </c:pt>
                <c:pt idx="64">
                  <c:v>68</c:v>
                </c:pt>
                <c:pt idx="65">
                  <c:v>45</c:v>
                </c:pt>
                <c:pt idx="66">
                  <c:v>40</c:v>
                </c:pt>
                <c:pt idx="67">
                  <c:v>78</c:v>
                </c:pt>
                <c:pt idx="68">
                  <c:v>25</c:v>
                </c:pt>
                <c:pt idx="69">
                  <c:v>52</c:v>
                </c:pt>
                <c:pt idx="70">
                  <c:v>58</c:v>
                </c:pt>
                <c:pt idx="71">
                  <c:v>32</c:v>
                </c:pt>
                <c:pt idx="72">
                  <c:v>55</c:v>
                </c:pt>
                <c:pt idx="73">
                  <c:v>65</c:v>
                </c:pt>
                <c:pt idx="74">
                  <c:v>55</c:v>
                </c:pt>
                <c:pt idx="75">
                  <c:v>62</c:v>
                </c:pt>
                <c:pt idx="76">
                  <c:v>35</c:v>
                </c:pt>
                <c:pt idx="77">
                  <c:v>78</c:v>
                </c:pt>
                <c:pt idx="78">
                  <c:v>53</c:v>
                </c:pt>
                <c:pt idx="79">
                  <c:v>72</c:v>
                </c:pt>
                <c:pt idx="80">
                  <c:v>60</c:v>
                </c:pt>
                <c:pt idx="81">
                  <c:v>45</c:v>
                </c:pt>
                <c:pt idx="82">
                  <c:v>75</c:v>
                </c:pt>
                <c:pt idx="83">
                  <c:v>28</c:v>
                </c:pt>
                <c:pt idx="84">
                  <c:v>52</c:v>
                </c:pt>
                <c:pt idx="85">
                  <c:v>67</c:v>
                </c:pt>
                <c:pt idx="86">
                  <c:v>35</c:v>
                </c:pt>
                <c:pt idx="87">
                  <c:v>50</c:v>
                </c:pt>
                <c:pt idx="88">
                  <c:v>60</c:v>
                </c:pt>
                <c:pt idx="89">
                  <c:v>48</c:v>
                </c:pt>
                <c:pt idx="90">
                  <c:v>65</c:v>
                </c:pt>
                <c:pt idx="91">
                  <c:v>30</c:v>
                </c:pt>
                <c:pt idx="92">
                  <c:v>70</c:v>
                </c:pt>
                <c:pt idx="93">
                  <c:v>55</c:v>
                </c:pt>
                <c:pt idx="94">
                  <c:v>68</c:v>
                </c:pt>
                <c:pt idx="95">
                  <c:v>45</c:v>
                </c:pt>
                <c:pt idx="96">
                  <c:v>40</c:v>
                </c:pt>
                <c:pt idx="97">
                  <c:v>78</c:v>
                </c:pt>
                <c:pt idx="98">
                  <c:v>25</c:v>
                </c:pt>
                <c:pt idx="99">
                  <c:v>52</c:v>
                </c:pt>
                <c:pt idx="100">
                  <c:v>58</c:v>
                </c:pt>
                <c:pt idx="101">
                  <c:v>32</c:v>
                </c:pt>
                <c:pt idx="102">
                  <c:v>55</c:v>
                </c:pt>
                <c:pt idx="103">
                  <c:v>65</c:v>
                </c:pt>
                <c:pt idx="104">
                  <c:v>55</c:v>
                </c:pt>
                <c:pt idx="105">
                  <c:v>62</c:v>
                </c:pt>
                <c:pt idx="106">
                  <c:v>35</c:v>
                </c:pt>
                <c:pt idx="107">
                  <c:v>78</c:v>
                </c:pt>
                <c:pt idx="108">
                  <c:v>53</c:v>
                </c:pt>
                <c:pt idx="109">
                  <c:v>72</c:v>
                </c:pt>
                <c:pt idx="110">
                  <c:v>60</c:v>
                </c:pt>
                <c:pt idx="111">
                  <c:v>45</c:v>
                </c:pt>
                <c:pt idx="112">
                  <c:v>75</c:v>
                </c:pt>
                <c:pt idx="113">
                  <c:v>28</c:v>
                </c:pt>
                <c:pt idx="114">
                  <c:v>52</c:v>
                </c:pt>
                <c:pt idx="115">
                  <c:v>67</c:v>
                </c:pt>
                <c:pt idx="116">
                  <c:v>35</c:v>
                </c:pt>
                <c:pt idx="117">
                  <c:v>50</c:v>
                </c:pt>
                <c:pt idx="118">
                  <c:v>60</c:v>
                </c:pt>
                <c:pt idx="119">
                  <c:v>65</c:v>
                </c:pt>
                <c:pt idx="120">
                  <c:v>30</c:v>
                </c:pt>
                <c:pt idx="121">
                  <c:v>70</c:v>
                </c:pt>
                <c:pt idx="122">
                  <c:v>55</c:v>
                </c:pt>
                <c:pt idx="123">
                  <c:v>68</c:v>
                </c:pt>
                <c:pt idx="124">
                  <c:v>45</c:v>
                </c:pt>
                <c:pt idx="125">
                  <c:v>40</c:v>
                </c:pt>
                <c:pt idx="126">
                  <c:v>78</c:v>
                </c:pt>
                <c:pt idx="127">
                  <c:v>25</c:v>
                </c:pt>
                <c:pt idx="128">
                  <c:v>52</c:v>
                </c:pt>
                <c:pt idx="129">
                  <c:v>58</c:v>
                </c:pt>
                <c:pt idx="130">
                  <c:v>32</c:v>
                </c:pt>
                <c:pt idx="131">
                  <c:v>55</c:v>
                </c:pt>
                <c:pt idx="132">
                  <c:v>65</c:v>
                </c:pt>
                <c:pt idx="133">
                  <c:v>55</c:v>
                </c:pt>
                <c:pt idx="134">
                  <c:v>62</c:v>
                </c:pt>
                <c:pt idx="135">
                  <c:v>35</c:v>
                </c:pt>
                <c:pt idx="136">
                  <c:v>78</c:v>
                </c:pt>
                <c:pt idx="137">
                  <c:v>53</c:v>
                </c:pt>
                <c:pt idx="138">
                  <c:v>72</c:v>
                </c:pt>
                <c:pt idx="139">
                  <c:v>60</c:v>
                </c:pt>
                <c:pt idx="140">
                  <c:v>45</c:v>
                </c:pt>
                <c:pt idx="141">
                  <c:v>75</c:v>
                </c:pt>
                <c:pt idx="142">
                  <c:v>28</c:v>
                </c:pt>
                <c:pt idx="143">
                  <c:v>52</c:v>
                </c:pt>
                <c:pt idx="144">
                  <c:v>67</c:v>
                </c:pt>
                <c:pt idx="145">
                  <c:v>35</c:v>
                </c:pt>
                <c:pt idx="146">
                  <c:v>50</c:v>
                </c:pt>
                <c:pt idx="147">
                  <c:v>60</c:v>
                </c:pt>
                <c:pt idx="148">
                  <c:v>48</c:v>
                </c:pt>
                <c:pt idx="149">
                  <c:v>65</c:v>
                </c:pt>
                <c:pt idx="150">
                  <c:v>30</c:v>
                </c:pt>
                <c:pt idx="151">
                  <c:v>70</c:v>
                </c:pt>
                <c:pt idx="152">
                  <c:v>55</c:v>
                </c:pt>
                <c:pt idx="153">
                  <c:v>68</c:v>
                </c:pt>
                <c:pt idx="154">
                  <c:v>45</c:v>
                </c:pt>
                <c:pt idx="155">
                  <c:v>40</c:v>
                </c:pt>
                <c:pt idx="156">
                  <c:v>78</c:v>
                </c:pt>
                <c:pt idx="157">
                  <c:v>25</c:v>
                </c:pt>
                <c:pt idx="158">
                  <c:v>52</c:v>
                </c:pt>
                <c:pt idx="159">
                  <c:v>58</c:v>
                </c:pt>
                <c:pt idx="160">
                  <c:v>32</c:v>
                </c:pt>
                <c:pt idx="161">
                  <c:v>55</c:v>
                </c:pt>
                <c:pt idx="162">
                  <c:v>65</c:v>
                </c:pt>
                <c:pt idx="163">
                  <c:v>55</c:v>
                </c:pt>
                <c:pt idx="164">
                  <c:v>62</c:v>
                </c:pt>
                <c:pt idx="165">
                  <c:v>35</c:v>
                </c:pt>
                <c:pt idx="166">
                  <c:v>78</c:v>
                </c:pt>
                <c:pt idx="167">
                  <c:v>53</c:v>
                </c:pt>
                <c:pt idx="168">
                  <c:v>72</c:v>
                </c:pt>
                <c:pt idx="169">
                  <c:v>60</c:v>
                </c:pt>
                <c:pt idx="170">
                  <c:v>45</c:v>
                </c:pt>
                <c:pt idx="171">
                  <c:v>75</c:v>
                </c:pt>
                <c:pt idx="172">
                  <c:v>28</c:v>
                </c:pt>
                <c:pt idx="173">
                  <c:v>52</c:v>
                </c:pt>
                <c:pt idx="174">
                  <c:v>67</c:v>
                </c:pt>
                <c:pt idx="175">
                  <c:v>35</c:v>
                </c:pt>
                <c:pt idx="176">
                  <c:v>50</c:v>
                </c:pt>
                <c:pt idx="177">
                  <c:v>60</c:v>
                </c:pt>
                <c:pt idx="178">
                  <c:v>48</c:v>
                </c:pt>
                <c:pt idx="179">
                  <c:v>30</c:v>
                </c:pt>
                <c:pt idx="180">
                  <c:v>70</c:v>
                </c:pt>
                <c:pt idx="181">
                  <c:v>55</c:v>
                </c:pt>
                <c:pt idx="182">
                  <c:v>68</c:v>
                </c:pt>
                <c:pt idx="183">
                  <c:v>45</c:v>
                </c:pt>
                <c:pt idx="184">
                  <c:v>40</c:v>
                </c:pt>
                <c:pt idx="185">
                  <c:v>78</c:v>
                </c:pt>
                <c:pt idx="186">
                  <c:v>25</c:v>
                </c:pt>
                <c:pt idx="187">
                  <c:v>52</c:v>
                </c:pt>
                <c:pt idx="188">
                  <c:v>58</c:v>
                </c:pt>
                <c:pt idx="189">
                  <c:v>32</c:v>
                </c:pt>
                <c:pt idx="190">
                  <c:v>55</c:v>
                </c:pt>
                <c:pt idx="191">
                  <c:v>65</c:v>
                </c:pt>
                <c:pt idx="192">
                  <c:v>55</c:v>
                </c:pt>
                <c:pt idx="193">
                  <c:v>62</c:v>
                </c:pt>
                <c:pt idx="194">
                  <c:v>35</c:v>
                </c:pt>
                <c:pt idx="195">
                  <c:v>78</c:v>
                </c:pt>
                <c:pt idx="196">
                  <c:v>53</c:v>
                </c:pt>
                <c:pt idx="197">
                  <c:v>72</c:v>
                </c:pt>
                <c:pt idx="198">
                  <c:v>60</c:v>
                </c:pt>
                <c:pt idx="199">
                  <c:v>45</c:v>
                </c:pt>
                <c:pt idx="200">
                  <c:v>75</c:v>
                </c:pt>
                <c:pt idx="201">
                  <c:v>28</c:v>
                </c:pt>
                <c:pt idx="202">
                  <c:v>52</c:v>
                </c:pt>
                <c:pt idx="203">
                  <c:v>67</c:v>
                </c:pt>
                <c:pt idx="204">
                  <c:v>35</c:v>
                </c:pt>
                <c:pt idx="205">
                  <c:v>50</c:v>
                </c:pt>
                <c:pt idx="206">
                  <c:v>60</c:v>
                </c:pt>
                <c:pt idx="207">
                  <c:v>48</c:v>
                </c:pt>
                <c:pt idx="208">
                  <c:v>65</c:v>
                </c:pt>
                <c:pt idx="209">
                  <c:v>30</c:v>
                </c:pt>
                <c:pt idx="210">
                  <c:v>70</c:v>
                </c:pt>
                <c:pt idx="211">
                  <c:v>55</c:v>
                </c:pt>
                <c:pt idx="212">
                  <c:v>68</c:v>
                </c:pt>
                <c:pt idx="213">
                  <c:v>45</c:v>
                </c:pt>
                <c:pt idx="214">
                  <c:v>40</c:v>
                </c:pt>
                <c:pt idx="215">
                  <c:v>78</c:v>
                </c:pt>
                <c:pt idx="216">
                  <c:v>25</c:v>
                </c:pt>
                <c:pt idx="217">
                  <c:v>52</c:v>
                </c:pt>
                <c:pt idx="218">
                  <c:v>58</c:v>
                </c:pt>
                <c:pt idx="219">
                  <c:v>32</c:v>
                </c:pt>
                <c:pt idx="220">
                  <c:v>55</c:v>
                </c:pt>
                <c:pt idx="221">
                  <c:v>65</c:v>
                </c:pt>
                <c:pt idx="222">
                  <c:v>55</c:v>
                </c:pt>
                <c:pt idx="223">
                  <c:v>62</c:v>
                </c:pt>
                <c:pt idx="224">
                  <c:v>35</c:v>
                </c:pt>
                <c:pt idx="225">
                  <c:v>78</c:v>
                </c:pt>
                <c:pt idx="226">
                  <c:v>53</c:v>
                </c:pt>
                <c:pt idx="227">
                  <c:v>72</c:v>
                </c:pt>
                <c:pt idx="228">
                  <c:v>60</c:v>
                </c:pt>
                <c:pt idx="229">
                  <c:v>45</c:v>
                </c:pt>
                <c:pt idx="230">
                  <c:v>75</c:v>
                </c:pt>
                <c:pt idx="231">
                  <c:v>28</c:v>
                </c:pt>
                <c:pt idx="232">
                  <c:v>52</c:v>
                </c:pt>
                <c:pt idx="233">
                  <c:v>67</c:v>
                </c:pt>
                <c:pt idx="234">
                  <c:v>35</c:v>
                </c:pt>
                <c:pt idx="235">
                  <c:v>50</c:v>
                </c:pt>
                <c:pt idx="236">
                  <c:v>60</c:v>
                </c:pt>
                <c:pt idx="237">
                  <c:v>48</c:v>
                </c:pt>
                <c:pt idx="238">
                  <c:v>65</c:v>
                </c:pt>
                <c:pt idx="239">
                  <c:v>70</c:v>
                </c:pt>
                <c:pt idx="240">
                  <c:v>55</c:v>
                </c:pt>
                <c:pt idx="241">
                  <c:v>68</c:v>
                </c:pt>
                <c:pt idx="242">
                  <c:v>45</c:v>
                </c:pt>
                <c:pt idx="243">
                  <c:v>40</c:v>
                </c:pt>
                <c:pt idx="244">
                  <c:v>78</c:v>
                </c:pt>
                <c:pt idx="245">
                  <c:v>25</c:v>
                </c:pt>
                <c:pt idx="246">
                  <c:v>52</c:v>
                </c:pt>
                <c:pt idx="247">
                  <c:v>58</c:v>
                </c:pt>
                <c:pt idx="248">
                  <c:v>32</c:v>
                </c:pt>
                <c:pt idx="249">
                  <c:v>55</c:v>
                </c:pt>
                <c:pt idx="250">
                  <c:v>65</c:v>
                </c:pt>
                <c:pt idx="251">
                  <c:v>55</c:v>
                </c:pt>
                <c:pt idx="252">
                  <c:v>62</c:v>
                </c:pt>
                <c:pt idx="253">
                  <c:v>35</c:v>
                </c:pt>
                <c:pt idx="254">
                  <c:v>78</c:v>
                </c:pt>
                <c:pt idx="255">
                  <c:v>53</c:v>
                </c:pt>
                <c:pt idx="256">
                  <c:v>72</c:v>
                </c:pt>
                <c:pt idx="257">
                  <c:v>60</c:v>
                </c:pt>
                <c:pt idx="258">
                  <c:v>45</c:v>
                </c:pt>
                <c:pt idx="259">
                  <c:v>75</c:v>
                </c:pt>
                <c:pt idx="260">
                  <c:v>28</c:v>
                </c:pt>
                <c:pt idx="261">
                  <c:v>52</c:v>
                </c:pt>
                <c:pt idx="262">
                  <c:v>67</c:v>
                </c:pt>
                <c:pt idx="263">
                  <c:v>35</c:v>
                </c:pt>
                <c:pt idx="264">
                  <c:v>50</c:v>
                </c:pt>
                <c:pt idx="265">
                  <c:v>60</c:v>
                </c:pt>
                <c:pt idx="266">
                  <c:v>48</c:v>
                </c:pt>
                <c:pt idx="267">
                  <c:v>65</c:v>
                </c:pt>
                <c:pt idx="268">
                  <c:v>30</c:v>
                </c:pt>
                <c:pt idx="269">
                  <c:v>70</c:v>
                </c:pt>
                <c:pt idx="270">
                  <c:v>55</c:v>
                </c:pt>
                <c:pt idx="271">
                  <c:v>68</c:v>
                </c:pt>
                <c:pt idx="272">
                  <c:v>45</c:v>
                </c:pt>
                <c:pt idx="273">
                  <c:v>40</c:v>
                </c:pt>
                <c:pt idx="274">
                  <c:v>78</c:v>
                </c:pt>
                <c:pt idx="275">
                  <c:v>25</c:v>
                </c:pt>
                <c:pt idx="276">
                  <c:v>52</c:v>
                </c:pt>
                <c:pt idx="277">
                  <c:v>58</c:v>
                </c:pt>
                <c:pt idx="278">
                  <c:v>32</c:v>
                </c:pt>
                <c:pt idx="279">
                  <c:v>55</c:v>
                </c:pt>
                <c:pt idx="280">
                  <c:v>65</c:v>
                </c:pt>
                <c:pt idx="281">
                  <c:v>55</c:v>
                </c:pt>
                <c:pt idx="282">
                  <c:v>62</c:v>
                </c:pt>
                <c:pt idx="283">
                  <c:v>35</c:v>
                </c:pt>
                <c:pt idx="284">
                  <c:v>78</c:v>
                </c:pt>
                <c:pt idx="285">
                  <c:v>53</c:v>
                </c:pt>
                <c:pt idx="286">
                  <c:v>72</c:v>
                </c:pt>
                <c:pt idx="287">
                  <c:v>60</c:v>
                </c:pt>
                <c:pt idx="288">
                  <c:v>45</c:v>
                </c:pt>
                <c:pt idx="289">
                  <c:v>75</c:v>
                </c:pt>
                <c:pt idx="290">
                  <c:v>52</c:v>
                </c:pt>
                <c:pt idx="291">
                  <c:v>67</c:v>
                </c:pt>
                <c:pt idx="292">
                  <c:v>35</c:v>
                </c:pt>
                <c:pt idx="293">
                  <c:v>50</c:v>
                </c:pt>
                <c:pt idx="294">
                  <c:v>60</c:v>
                </c:pt>
                <c:pt idx="295">
                  <c:v>48</c:v>
                </c:pt>
                <c:pt idx="296">
                  <c:v>65</c:v>
                </c:pt>
                <c:pt idx="297">
                  <c:v>30</c:v>
                </c:pt>
                <c:pt idx="298">
                  <c:v>70</c:v>
                </c:pt>
                <c:pt idx="299">
                  <c:v>55</c:v>
                </c:pt>
                <c:pt idx="300">
                  <c:v>68</c:v>
                </c:pt>
                <c:pt idx="301">
                  <c:v>45</c:v>
                </c:pt>
                <c:pt idx="302">
                  <c:v>40</c:v>
                </c:pt>
                <c:pt idx="303">
                  <c:v>78</c:v>
                </c:pt>
                <c:pt idx="304">
                  <c:v>25</c:v>
                </c:pt>
                <c:pt idx="305">
                  <c:v>52</c:v>
                </c:pt>
                <c:pt idx="306">
                  <c:v>58</c:v>
                </c:pt>
                <c:pt idx="307">
                  <c:v>32</c:v>
                </c:pt>
                <c:pt idx="308">
                  <c:v>55</c:v>
                </c:pt>
                <c:pt idx="309">
                  <c:v>65</c:v>
                </c:pt>
                <c:pt idx="310">
                  <c:v>55</c:v>
                </c:pt>
                <c:pt idx="311">
                  <c:v>62</c:v>
                </c:pt>
                <c:pt idx="312">
                  <c:v>35</c:v>
                </c:pt>
                <c:pt idx="313">
                  <c:v>78</c:v>
                </c:pt>
                <c:pt idx="314">
                  <c:v>53</c:v>
                </c:pt>
                <c:pt idx="315">
                  <c:v>72</c:v>
                </c:pt>
                <c:pt idx="316">
                  <c:v>60</c:v>
                </c:pt>
                <c:pt idx="317">
                  <c:v>45</c:v>
                </c:pt>
                <c:pt idx="318">
                  <c:v>75</c:v>
                </c:pt>
                <c:pt idx="319">
                  <c:v>28</c:v>
                </c:pt>
                <c:pt idx="320">
                  <c:v>52</c:v>
                </c:pt>
                <c:pt idx="321">
                  <c:v>67</c:v>
                </c:pt>
                <c:pt idx="322">
                  <c:v>35</c:v>
                </c:pt>
                <c:pt idx="323">
                  <c:v>50</c:v>
                </c:pt>
                <c:pt idx="324">
                  <c:v>60</c:v>
                </c:pt>
                <c:pt idx="325">
                  <c:v>48</c:v>
                </c:pt>
                <c:pt idx="326">
                  <c:v>65</c:v>
                </c:pt>
                <c:pt idx="327">
                  <c:v>30</c:v>
                </c:pt>
                <c:pt idx="328">
                  <c:v>70</c:v>
                </c:pt>
                <c:pt idx="329">
                  <c:v>55</c:v>
                </c:pt>
                <c:pt idx="330">
                  <c:v>68</c:v>
                </c:pt>
                <c:pt idx="331">
                  <c:v>45</c:v>
                </c:pt>
                <c:pt idx="332">
                  <c:v>40</c:v>
                </c:pt>
                <c:pt idx="333">
                  <c:v>78</c:v>
                </c:pt>
                <c:pt idx="334">
                  <c:v>25</c:v>
                </c:pt>
                <c:pt idx="335">
                  <c:v>52</c:v>
                </c:pt>
                <c:pt idx="336">
                  <c:v>58</c:v>
                </c:pt>
                <c:pt idx="337">
                  <c:v>32</c:v>
                </c:pt>
                <c:pt idx="338">
                  <c:v>55</c:v>
                </c:pt>
                <c:pt idx="339">
                  <c:v>65</c:v>
                </c:pt>
                <c:pt idx="340">
                  <c:v>55</c:v>
                </c:pt>
                <c:pt idx="341">
                  <c:v>62</c:v>
                </c:pt>
                <c:pt idx="342">
                  <c:v>35</c:v>
                </c:pt>
                <c:pt idx="343">
                  <c:v>78</c:v>
                </c:pt>
                <c:pt idx="344">
                  <c:v>53</c:v>
                </c:pt>
                <c:pt idx="345">
                  <c:v>72</c:v>
                </c:pt>
                <c:pt idx="346">
                  <c:v>60</c:v>
                </c:pt>
                <c:pt idx="347">
                  <c:v>45</c:v>
                </c:pt>
                <c:pt idx="348">
                  <c:v>75</c:v>
                </c:pt>
                <c:pt idx="349">
                  <c:v>28</c:v>
                </c:pt>
                <c:pt idx="350">
                  <c:v>67</c:v>
                </c:pt>
                <c:pt idx="351">
                  <c:v>35</c:v>
                </c:pt>
                <c:pt idx="352">
                  <c:v>50</c:v>
                </c:pt>
                <c:pt idx="353">
                  <c:v>60</c:v>
                </c:pt>
                <c:pt idx="354">
                  <c:v>48</c:v>
                </c:pt>
                <c:pt idx="355">
                  <c:v>65</c:v>
                </c:pt>
                <c:pt idx="356">
                  <c:v>30</c:v>
                </c:pt>
                <c:pt idx="357">
                  <c:v>70</c:v>
                </c:pt>
                <c:pt idx="358">
                  <c:v>55</c:v>
                </c:pt>
                <c:pt idx="359">
                  <c:v>68</c:v>
                </c:pt>
                <c:pt idx="360">
                  <c:v>45</c:v>
                </c:pt>
                <c:pt idx="361">
                  <c:v>40</c:v>
                </c:pt>
                <c:pt idx="362">
                  <c:v>78</c:v>
                </c:pt>
                <c:pt idx="363">
                  <c:v>25</c:v>
                </c:pt>
                <c:pt idx="364">
                  <c:v>52</c:v>
                </c:pt>
                <c:pt idx="365">
                  <c:v>58</c:v>
                </c:pt>
                <c:pt idx="366">
                  <c:v>32</c:v>
                </c:pt>
                <c:pt idx="367">
                  <c:v>55</c:v>
                </c:pt>
                <c:pt idx="368">
                  <c:v>65</c:v>
                </c:pt>
                <c:pt idx="369">
                  <c:v>55</c:v>
                </c:pt>
                <c:pt idx="370">
                  <c:v>62</c:v>
                </c:pt>
                <c:pt idx="371">
                  <c:v>35</c:v>
                </c:pt>
                <c:pt idx="372">
                  <c:v>78</c:v>
                </c:pt>
                <c:pt idx="373">
                  <c:v>53</c:v>
                </c:pt>
                <c:pt idx="374">
                  <c:v>72</c:v>
                </c:pt>
                <c:pt idx="375">
                  <c:v>60</c:v>
                </c:pt>
                <c:pt idx="376">
                  <c:v>45</c:v>
                </c:pt>
                <c:pt idx="377">
                  <c:v>75</c:v>
                </c:pt>
                <c:pt idx="378">
                  <c:v>28</c:v>
                </c:pt>
                <c:pt idx="379">
                  <c:v>52</c:v>
                </c:pt>
                <c:pt idx="380">
                  <c:v>67</c:v>
                </c:pt>
                <c:pt idx="381">
                  <c:v>35</c:v>
                </c:pt>
                <c:pt idx="382">
                  <c:v>50</c:v>
                </c:pt>
                <c:pt idx="383">
                  <c:v>60</c:v>
                </c:pt>
                <c:pt idx="384">
                  <c:v>48</c:v>
                </c:pt>
                <c:pt idx="385">
                  <c:v>65</c:v>
                </c:pt>
                <c:pt idx="386">
                  <c:v>30</c:v>
                </c:pt>
                <c:pt idx="387">
                  <c:v>70</c:v>
                </c:pt>
                <c:pt idx="388">
                  <c:v>55</c:v>
                </c:pt>
                <c:pt idx="389">
                  <c:v>68</c:v>
                </c:pt>
                <c:pt idx="390">
                  <c:v>45</c:v>
                </c:pt>
                <c:pt idx="391">
                  <c:v>40</c:v>
                </c:pt>
                <c:pt idx="392">
                  <c:v>78</c:v>
                </c:pt>
                <c:pt idx="393">
                  <c:v>25</c:v>
                </c:pt>
                <c:pt idx="394">
                  <c:v>52</c:v>
                </c:pt>
                <c:pt idx="395">
                  <c:v>58</c:v>
                </c:pt>
                <c:pt idx="396">
                  <c:v>32</c:v>
                </c:pt>
                <c:pt idx="397">
                  <c:v>55</c:v>
                </c:pt>
                <c:pt idx="398">
                  <c:v>65</c:v>
                </c:pt>
                <c:pt idx="399">
                  <c:v>55</c:v>
                </c:pt>
                <c:pt idx="400">
                  <c:v>62</c:v>
                </c:pt>
                <c:pt idx="401">
                  <c:v>35</c:v>
                </c:pt>
                <c:pt idx="402">
                  <c:v>78</c:v>
                </c:pt>
                <c:pt idx="403">
                  <c:v>53</c:v>
                </c:pt>
                <c:pt idx="404">
                  <c:v>72</c:v>
                </c:pt>
                <c:pt idx="405">
                  <c:v>60</c:v>
                </c:pt>
                <c:pt idx="406">
                  <c:v>45</c:v>
                </c:pt>
                <c:pt idx="407">
                  <c:v>75</c:v>
                </c:pt>
                <c:pt idx="408">
                  <c:v>28</c:v>
                </c:pt>
                <c:pt idx="409">
                  <c:v>52</c:v>
                </c:pt>
                <c:pt idx="410">
                  <c:v>35</c:v>
                </c:pt>
                <c:pt idx="411">
                  <c:v>50</c:v>
                </c:pt>
                <c:pt idx="412">
                  <c:v>60</c:v>
                </c:pt>
                <c:pt idx="413">
                  <c:v>48</c:v>
                </c:pt>
                <c:pt idx="414">
                  <c:v>65</c:v>
                </c:pt>
                <c:pt idx="415">
                  <c:v>30</c:v>
                </c:pt>
                <c:pt idx="416">
                  <c:v>70</c:v>
                </c:pt>
                <c:pt idx="417">
                  <c:v>55</c:v>
                </c:pt>
                <c:pt idx="418">
                  <c:v>68</c:v>
                </c:pt>
                <c:pt idx="419">
                  <c:v>45</c:v>
                </c:pt>
                <c:pt idx="420">
                  <c:v>40</c:v>
                </c:pt>
                <c:pt idx="421">
                  <c:v>78</c:v>
                </c:pt>
                <c:pt idx="422">
                  <c:v>25</c:v>
                </c:pt>
                <c:pt idx="423">
                  <c:v>52</c:v>
                </c:pt>
                <c:pt idx="424">
                  <c:v>58</c:v>
                </c:pt>
                <c:pt idx="425">
                  <c:v>32</c:v>
                </c:pt>
                <c:pt idx="426">
                  <c:v>55</c:v>
                </c:pt>
                <c:pt idx="427">
                  <c:v>65</c:v>
                </c:pt>
                <c:pt idx="428">
                  <c:v>55</c:v>
                </c:pt>
                <c:pt idx="429">
                  <c:v>62</c:v>
                </c:pt>
                <c:pt idx="430">
                  <c:v>35</c:v>
                </c:pt>
                <c:pt idx="431">
                  <c:v>78</c:v>
                </c:pt>
                <c:pt idx="432">
                  <c:v>53</c:v>
                </c:pt>
                <c:pt idx="433">
                  <c:v>72</c:v>
                </c:pt>
                <c:pt idx="434">
                  <c:v>60</c:v>
                </c:pt>
                <c:pt idx="435">
                  <c:v>45</c:v>
                </c:pt>
                <c:pt idx="436">
                  <c:v>75</c:v>
                </c:pt>
                <c:pt idx="437">
                  <c:v>28</c:v>
                </c:pt>
                <c:pt idx="438">
                  <c:v>52</c:v>
                </c:pt>
                <c:pt idx="439">
                  <c:v>67</c:v>
                </c:pt>
                <c:pt idx="440">
                  <c:v>35</c:v>
                </c:pt>
                <c:pt idx="441">
                  <c:v>50</c:v>
                </c:pt>
                <c:pt idx="442">
                  <c:v>60</c:v>
                </c:pt>
                <c:pt idx="443">
                  <c:v>48</c:v>
                </c:pt>
                <c:pt idx="444">
                  <c:v>65</c:v>
                </c:pt>
                <c:pt idx="445">
                  <c:v>30</c:v>
                </c:pt>
                <c:pt idx="446">
                  <c:v>70</c:v>
                </c:pt>
                <c:pt idx="447">
                  <c:v>55</c:v>
                </c:pt>
                <c:pt idx="448">
                  <c:v>68</c:v>
                </c:pt>
                <c:pt idx="449">
                  <c:v>45</c:v>
                </c:pt>
                <c:pt idx="450">
                  <c:v>40</c:v>
                </c:pt>
                <c:pt idx="451">
                  <c:v>78</c:v>
                </c:pt>
                <c:pt idx="452">
                  <c:v>25</c:v>
                </c:pt>
                <c:pt idx="453">
                  <c:v>52</c:v>
                </c:pt>
                <c:pt idx="454">
                  <c:v>58</c:v>
                </c:pt>
                <c:pt idx="455">
                  <c:v>32</c:v>
                </c:pt>
                <c:pt idx="456">
                  <c:v>55</c:v>
                </c:pt>
                <c:pt idx="457">
                  <c:v>65</c:v>
                </c:pt>
                <c:pt idx="458">
                  <c:v>55</c:v>
                </c:pt>
                <c:pt idx="459">
                  <c:v>62</c:v>
                </c:pt>
                <c:pt idx="460">
                  <c:v>35</c:v>
                </c:pt>
                <c:pt idx="461">
                  <c:v>78</c:v>
                </c:pt>
                <c:pt idx="462">
                  <c:v>53</c:v>
                </c:pt>
                <c:pt idx="463">
                  <c:v>72</c:v>
                </c:pt>
                <c:pt idx="464">
                  <c:v>60</c:v>
                </c:pt>
                <c:pt idx="465">
                  <c:v>45</c:v>
                </c:pt>
                <c:pt idx="466">
                  <c:v>75</c:v>
                </c:pt>
                <c:pt idx="467">
                  <c:v>28</c:v>
                </c:pt>
                <c:pt idx="468">
                  <c:v>52</c:v>
                </c:pt>
                <c:pt idx="469">
                  <c:v>67</c:v>
                </c:pt>
                <c:pt idx="470">
                  <c:v>50</c:v>
                </c:pt>
                <c:pt idx="471">
                  <c:v>60</c:v>
                </c:pt>
                <c:pt idx="472">
                  <c:v>48</c:v>
                </c:pt>
                <c:pt idx="473">
                  <c:v>65</c:v>
                </c:pt>
                <c:pt idx="474">
                  <c:v>30</c:v>
                </c:pt>
                <c:pt idx="475">
                  <c:v>70</c:v>
                </c:pt>
                <c:pt idx="476">
                  <c:v>55</c:v>
                </c:pt>
                <c:pt idx="477">
                  <c:v>68</c:v>
                </c:pt>
                <c:pt idx="478">
                  <c:v>45</c:v>
                </c:pt>
                <c:pt idx="479">
                  <c:v>40</c:v>
                </c:pt>
                <c:pt idx="480">
                  <c:v>78</c:v>
                </c:pt>
                <c:pt idx="481">
                  <c:v>25</c:v>
                </c:pt>
                <c:pt idx="482">
                  <c:v>52</c:v>
                </c:pt>
                <c:pt idx="483">
                  <c:v>58</c:v>
                </c:pt>
                <c:pt idx="484">
                  <c:v>32</c:v>
                </c:pt>
                <c:pt idx="485">
                  <c:v>55</c:v>
                </c:pt>
                <c:pt idx="486">
                  <c:v>65</c:v>
                </c:pt>
                <c:pt idx="487">
                  <c:v>55</c:v>
                </c:pt>
                <c:pt idx="488">
                  <c:v>62</c:v>
                </c:pt>
                <c:pt idx="489">
                  <c:v>35</c:v>
                </c:pt>
                <c:pt idx="490">
                  <c:v>78</c:v>
                </c:pt>
                <c:pt idx="491">
                  <c:v>53</c:v>
                </c:pt>
                <c:pt idx="492">
                  <c:v>72</c:v>
                </c:pt>
                <c:pt idx="493">
                  <c:v>60</c:v>
                </c:pt>
                <c:pt idx="494">
                  <c:v>45</c:v>
                </c:pt>
                <c:pt idx="495">
                  <c:v>75</c:v>
                </c:pt>
                <c:pt idx="496">
                  <c:v>28</c:v>
                </c:pt>
                <c:pt idx="497">
                  <c:v>52</c:v>
                </c:pt>
                <c:pt idx="498">
                  <c:v>67</c:v>
                </c:pt>
                <c:pt idx="499">
                  <c:v>35</c:v>
                </c:pt>
                <c:pt idx="500">
                  <c:v>50</c:v>
                </c:pt>
                <c:pt idx="501">
                  <c:v>60</c:v>
                </c:pt>
                <c:pt idx="502">
                  <c:v>48</c:v>
                </c:pt>
                <c:pt idx="503">
                  <c:v>65</c:v>
                </c:pt>
                <c:pt idx="504">
                  <c:v>30</c:v>
                </c:pt>
                <c:pt idx="505">
                  <c:v>70</c:v>
                </c:pt>
                <c:pt idx="506">
                  <c:v>55</c:v>
                </c:pt>
                <c:pt idx="507">
                  <c:v>68</c:v>
                </c:pt>
                <c:pt idx="508">
                  <c:v>45</c:v>
                </c:pt>
                <c:pt idx="509">
                  <c:v>40</c:v>
                </c:pt>
                <c:pt idx="510">
                  <c:v>78</c:v>
                </c:pt>
                <c:pt idx="511">
                  <c:v>25</c:v>
                </c:pt>
                <c:pt idx="512">
                  <c:v>52</c:v>
                </c:pt>
                <c:pt idx="513">
                  <c:v>58</c:v>
                </c:pt>
                <c:pt idx="514">
                  <c:v>32</c:v>
                </c:pt>
                <c:pt idx="515">
                  <c:v>55</c:v>
                </c:pt>
                <c:pt idx="516">
                  <c:v>65</c:v>
                </c:pt>
                <c:pt idx="517">
                  <c:v>55</c:v>
                </c:pt>
                <c:pt idx="518">
                  <c:v>62</c:v>
                </c:pt>
                <c:pt idx="519">
                  <c:v>35</c:v>
                </c:pt>
                <c:pt idx="520">
                  <c:v>78</c:v>
                </c:pt>
                <c:pt idx="521">
                  <c:v>53</c:v>
                </c:pt>
                <c:pt idx="522">
                  <c:v>72</c:v>
                </c:pt>
                <c:pt idx="523">
                  <c:v>60</c:v>
                </c:pt>
                <c:pt idx="524">
                  <c:v>45</c:v>
                </c:pt>
                <c:pt idx="525">
                  <c:v>75</c:v>
                </c:pt>
                <c:pt idx="526">
                  <c:v>28</c:v>
                </c:pt>
                <c:pt idx="527">
                  <c:v>52</c:v>
                </c:pt>
                <c:pt idx="528">
                  <c:v>67</c:v>
                </c:pt>
                <c:pt idx="529">
                  <c:v>35</c:v>
                </c:pt>
                <c:pt idx="530">
                  <c:v>60</c:v>
                </c:pt>
                <c:pt idx="531">
                  <c:v>48</c:v>
                </c:pt>
                <c:pt idx="532">
                  <c:v>65</c:v>
                </c:pt>
                <c:pt idx="533">
                  <c:v>30</c:v>
                </c:pt>
                <c:pt idx="534">
                  <c:v>70</c:v>
                </c:pt>
                <c:pt idx="535">
                  <c:v>55</c:v>
                </c:pt>
                <c:pt idx="536">
                  <c:v>68</c:v>
                </c:pt>
                <c:pt idx="537">
                  <c:v>45</c:v>
                </c:pt>
                <c:pt idx="538">
                  <c:v>40</c:v>
                </c:pt>
                <c:pt idx="539">
                  <c:v>78</c:v>
                </c:pt>
                <c:pt idx="540">
                  <c:v>25</c:v>
                </c:pt>
                <c:pt idx="541">
                  <c:v>52</c:v>
                </c:pt>
                <c:pt idx="542">
                  <c:v>58</c:v>
                </c:pt>
                <c:pt idx="543">
                  <c:v>32</c:v>
                </c:pt>
                <c:pt idx="544">
                  <c:v>55</c:v>
                </c:pt>
                <c:pt idx="545">
                  <c:v>65</c:v>
                </c:pt>
                <c:pt idx="546">
                  <c:v>55</c:v>
                </c:pt>
                <c:pt idx="547">
                  <c:v>62</c:v>
                </c:pt>
                <c:pt idx="548">
                  <c:v>35</c:v>
                </c:pt>
                <c:pt idx="549">
                  <c:v>78</c:v>
                </c:pt>
                <c:pt idx="550">
                  <c:v>53</c:v>
                </c:pt>
                <c:pt idx="551">
                  <c:v>72</c:v>
                </c:pt>
                <c:pt idx="552">
                  <c:v>60</c:v>
                </c:pt>
                <c:pt idx="553">
                  <c:v>45</c:v>
                </c:pt>
                <c:pt idx="554">
                  <c:v>75</c:v>
                </c:pt>
                <c:pt idx="555">
                  <c:v>28</c:v>
                </c:pt>
                <c:pt idx="556">
                  <c:v>52</c:v>
                </c:pt>
                <c:pt idx="557">
                  <c:v>67</c:v>
                </c:pt>
                <c:pt idx="558">
                  <c:v>35</c:v>
                </c:pt>
                <c:pt idx="559">
                  <c:v>50</c:v>
                </c:pt>
                <c:pt idx="560">
                  <c:v>60</c:v>
                </c:pt>
                <c:pt idx="561">
                  <c:v>48</c:v>
                </c:pt>
                <c:pt idx="562">
                  <c:v>65</c:v>
                </c:pt>
                <c:pt idx="563">
                  <c:v>30</c:v>
                </c:pt>
                <c:pt idx="564">
                  <c:v>70</c:v>
                </c:pt>
                <c:pt idx="565">
                  <c:v>55</c:v>
                </c:pt>
                <c:pt idx="566">
                  <c:v>68</c:v>
                </c:pt>
                <c:pt idx="567">
                  <c:v>45</c:v>
                </c:pt>
                <c:pt idx="568">
                  <c:v>40</c:v>
                </c:pt>
                <c:pt idx="569">
                  <c:v>78</c:v>
                </c:pt>
                <c:pt idx="570">
                  <c:v>25</c:v>
                </c:pt>
                <c:pt idx="571">
                  <c:v>52</c:v>
                </c:pt>
                <c:pt idx="572">
                  <c:v>58</c:v>
                </c:pt>
                <c:pt idx="573">
                  <c:v>32</c:v>
                </c:pt>
                <c:pt idx="574">
                  <c:v>55</c:v>
                </c:pt>
                <c:pt idx="575">
                  <c:v>65</c:v>
                </c:pt>
                <c:pt idx="576">
                  <c:v>55</c:v>
                </c:pt>
                <c:pt idx="577">
                  <c:v>62</c:v>
                </c:pt>
                <c:pt idx="578">
                  <c:v>35</c:v>
                </c:pt>
                <c:pt idx="579">
                  <c:v>78</c:v>
                </c:pt>
                <c:pt idx="580">
                  <c:v>53</c:v>
                </c:pt>
                <c:pt idx="581">
                  <c:v>72</c:v>
                </c:pt>
                <c:pt idx="582">
                  <c:v>60</c:v>
                </c:pt>
                <c:pt idx="583">
                  <c:v>45</c:v>
                </c:pt>
                <c:pt idx="584">
                  <c:v>75</c:v>
                </c:pt>
                <c:pt idx="585">
                  <c:v>28</c:v>
                </c:pt>
                <c:pt idx="586">
                  <c:v>52</c:v>
                </c:pt>
                <c:pt idx="587">
                  <c:v>67</c:v>
                </c:pt>
                <c:pt idx="588">
                  <c:v>35</c:v>
                </c:pt>
                <c:pt idx="589">
                  <c:v>50</c:v>
                </c:pt>
                <c:pt idx="590">
                  <c:v>48</c:v>
                </c:pt>
                <c:pt idx="591">
                  <c:v>65</c:v>
                </c:pt>
                <c:pt idx="592">
                  <c:v>30</c:v>
                </c:pt>
                <c:pt idx="593">
                  <c:v>70</c:v>
                </c:pt>
                <c:pt idx="594">
                  <c:v>55</c:v>
                </c:pt>
                <c:pt idx="595">
                  <c:v>68</c:v>
                </c:pt>
                <c:pt idx="596">
                  <c:v>45</c:v>
                </c:pt>
                <c:pt idx="597">
                  <c:v>40</c:v>
                </c:pt>
                <c:pt idx="598">
                  <c:v>78</c:v>
                </c:pt>
                <c:pt idx="599">
                  <c:v>25</c:v>
                </c:pt>
                <c:pt idx="600">
                  <c:v>52</c:v>
                </c:pt>
                <c:pt idx="601">
                  <c:v>58</c:v>
                </c:pt>
                <c:pt idx="602">
                  <c:v>32</c:v>
                </c:pt>
                <c:pt idx="603">
                  <c:v>55</c:v>
                </c:pt>
                <c:pt idx="604">
                  <c:v>65</c:v>
                </c:pt>
                <c:pt idx="605">
                  <c:v>55</c:v>
                </c:pt>
                <c:pt idx="606">
                  <c:v>62</c:v>
                </c:pt>
                <c:pt idx="607">
                  <c:v>35</c:v>
                </c:pt>
                <c:pt idx="608">
                  <c:v>78</c:v>
                </c:pt>
                <c:pt idx="609">
                  <c:v>53</c:v>
                </c:pt>
                <c:pt idx="610">
                  <c:v>72</c:v>
                </c:pt>
                <c:pt idx="611">
                  <c:v>60</c:v>
                </c:pt>
                <c:pt idx="612">
                  <c:v>45</c:v>
                </c:pt>
                <c:pt idx="613">
                  <c:v>75</c:v>
                </c:pt>
                <c:pt idx="614">
                  <c:v>28</c:v>
                </c:pt>
                <c:pt idx="615">
                  <c:v>52</c:v>
                </c:pt>
                <c:pt idx="616">
                  <c:v>67</c:v>
                </c:pt>
                <c:pt idx="617">
                  <c:v>35</c:v>
                </c:pt>
                <c:pt idx="618">
                  <c:v>50</c:v>
                </c:pt>
                <c:pt idx="619">
                  <c:v>60</c:v>
                </c:pt>
                <c:pt idx="620">
                  <c:v>48</c:v>
                </c:pt>
                <c:pt idx="621">
                  <c:v>65</c:v>
                </c:pt>
                <c:pt idx="622">
                  <c:v>30</c:v>
                </c:pt>
                <c:pt idx="623">
                  <c:v>70</c:v>
                </c:pt>
                <c:pt idx="624">
                  <c:v>55</c:v>
                </c:pt>
                <c:pt idx="625">
                  <c:v>68</c:v>
                </c:pt>
                <c:pt idx="626">
                  <c:v>45</c:v>
                </c:pt>
                <c:pt idx="627">
                  <c:v>40</c:v>
                </c:pt>
                <c:pt idx="628">
                  <c:v>78</c:v>
                </c:pt>
                <c:pt idx="629">
                  <c:v>25</c:v>
                </c:pt>
                <c:pt idx="630">
                  <c:v>52</c:v>
                </c:pt>
                <c:pt idx="631">
                  <c:v>58</c:v>
                </c:pt>
                <c:pt idx="632">
                  <c:v>32</c:v>
                </c:pt>
                <c:pt idx="633">
                  <c:v>55</c:v>
                </c:pt>
                <c:pt idx="634">
                  <c:v>65</c:v>
                </c:pt>
                <c:pt idx="635">
                  <c:v>55</c:v>
                </c:pt>
                <c:pt idx="636">
                  <c:v>62</c:v>
                </c:pt>
                <c:pt idx="637">
                  <c:v>35</c:v>
                </c:pt>
                <c:pt idx="638">
                  <c:v>78</c:v>
                </c:pt>
                <c:pt idx="639">
                  <c:v>53</c:v>
                </c:pt>
                <c:pt idx="640">
                  <c:v>72</c:v>
                </c:pt>
                <c:pt idx="641">
                  <c:v>60</c:v>
                </c:pt>
                <c:pt idx="642">
                  <c:v>45</c:v>
                </c:pt>
                <c:pt idx="643">
                  <c:v>75</c:v>
                </c:pt>
                <c:pt idx="644">
                  <c:v>28</c:v>
                </c:pt>
                <c:pt idx="645">
                  <c:v>52</c:v>
                </c:pt>
                <c:pt idx="646">
                  <c:v>67</c:v>
                </c:pt>
                <c:pt idx="647">
                  <c:v>35</c:v>
                </c:pt>
                <c:pt idx="648">
                  <c:v>50</c:v>
                </c:pt>
                <c:pt idx="649">
                  <c:v>60</c:v>
                </c:pt>
                <c:pt idx="650">
                  <c:v>65</c:v>
                </c:pt>
                <c:pt idx="651">
                  <c:v>30</c:v>
                </c:pt>
                <c:pt idx="652">
                  <c:v>70</c:v>
                </c:pt>
                <c:pt idx="653">
                  <c:v>55</c:v>
                </c:pt>
                <c:pt idx="654">
                  <c:v>68</c:v>
                </c:pt>
                <c:pt idx="655">
                  <c:v>45</c:v>
                </c:pt>
                <c:pt idx="656">
                  <c:v>40</c:v>
                </c:pt>
                <c:pt idx="657">
                  <c:v>78</c:v>
                </c:pt>
                <c:pt idx="658">
                  <c:v>25</c:v>
                </c:pt>
                <c:pt idx="659">
                  <c:v>52</c:v>
                </c:pt>
                <c:pt idx="660">
                  <c:v>58</c:v>
                </c:pt>
                <c:pt idx="661">
                  <c:v>32</c:v>
                </c:pt>
                <c:pt idx="662">
                  <c:v>55</c:v>
                </c:pt>
                <c:pt idx="663">
                  <c:v>65</c:v>
                </c:pt>
                <c:pt idx="664">
                  <c:v>55</c:v>
                </c:pt>
                <c:pt idx="665">
                  <c:v>62</c:v>
                </c:pt>
                <c:pt idx="666">
                  <c:v>35</c:v>
                </c:pt>
                <c:pt idx="667">
                  <c:v>78</c:v>
                </c:pt>
                <c:pt idx="668">
                  <c:v>53</c:v>
                </c:pt>
                <c:pt idx="669">
                  <c:v>72</c:v>
                </c:pt>
                <c:pt idx="670">
                  <c:v>60</c:v>
                </c:pt>
                <c:pt idx="671">
                  <c:v>45</c:v>
                </c:pt>
                <c:pt idx="672">
                  <c:v>75</c:v>
                </c:pt>
                <c:pt idx="673">
                  <c:v>28</c:v>
                </c:pt>
                <c:pt idx="674">
                  <c:v>52</c:v>
                </c:pt>
                <c:pt idx="675">
                  <c:v>67</c:v>
                </c:pt>
                <c:pt idx="676">
                  <c:v>35</c:v>
                </c:pt>
                <c:pt idx="677">
                  <c:v>50</c:v>
                </c:pt>
                <c:pt idx="678">
                  <c:v>60</c:v>
                </c:pt>
                <c:pt idx="679">
                  <c:v>48</c:v>
                </c:pt>
                <c:pt idx="680">
                  <c:v>65</c:v>
                </c:pt>
                <c:pt idx="681">
                  <c:v>30</c:v>
                </c:pt>
                <c:pt idx="682">
                  <c:v>70</c:v>
                </c:pt>
                <c:pt idx="683">
                  <c:v>55</c:v>
                </c:pt>
                <c:pt idx="684">
                  <c:v>68</c:v>
                </c:pt>
                <c:pt idx="685">
                  <c:v>45</c:v>
                </c:pt>
                <c:pt idx="686">
                  <c:v>40</c:v>
                </c:pt>
                <c:pt idx="687">
                  <c:v>78</c:v>
                </c:pt>
                <c:pt idx="688">
                  <c:v>25</c:v>
                </c:pt>
                <c:pt idx="689">
                  <c:v>52</c:v>
                </c:pt>
                <c:pt idx="690">
                  <c:v>58</c:v>
                </c:pt>
                <c:pt idx="691">
                  <c:v>32</c:v>
                </c:pt>
                <c:pt idx="692">
                  <c:v>55</c:v>
                </c:pt>
                <c:pt idx="693">
                  <c:v>65</c:v>
                </c:pt>
                <c:pt idx="694">
                  <c:v>55</c:v>
                </c:pt>
                <c:pt idx="695">
                  <c:v>62</c:v>
                </c:pt>
                <c:pt idx="696">
                  <c:v>35</c:v>
                </c:pt>
                <c:pt idx="697">
                  <c:v>78</c:v>
                </c:pt>
                <c:pt idx="698">
                  <c:v>53</c:v>
                </c:pt>
                <c:pt idx="699">
                  <c:v>72</c:v>
                </c:pt>
                <c:pt idx="700">
                  <c:v>60</c:v>
                </c:pt>
                <c:pt idx="701">
                  <c:v>45</c:v>
                </c:pt>
                <c:pt idx="702">
                  <c:v>75</c:v>
                </c:pt>
                <c:pt idx="703">
                  <c:v>28</c:v>
                </c:pt>
                <c:pt idx="704">
                  <c:v>52</c:v>
                </c:pt>
                <c:pt idx="705">
                  <c:v>67</c:v>
                </c:pt>
                <c:pt idx="706">
                  <c:v>35</c:v>
                </c:pt>
                <c:pt idx="707">
                  <c:v>50</c:v>
                </c:pt>
                <c:pt idx="708">
                  <c:v>60</c:v>
                </c:pt>
                <c:pt idx="709">
                  <c:v>48</c:v>
                </c:pt>
                <c:pt idx="710">
                  <c:v>30</c:v>
                </c:pt>
                <c:pt idx="711">
                  <c:v>70</c:v>
                </c:pt>
                <c:pt idx="712">
                  <c:v>55</c:v>
                </c:pt>
                <c:pt idx="713">
                  <c:v>68</c:v>
                </c:pt>
                <c:pt idx="714">
                  <c:v>45</c:v>
                </c:pt>
                <c:pt idx="715">
                  <c:v>40</c:v>
                </c:pt>
                <c:pt idx="716">
                  <c:v>78</c:v>
                </c:pt>
                <c:pt idx="717">
                  <c:v>25</c:v>
                </c:pt>
                <c:pt idx="718">
                  <c:v>52</c:v>
                </c:pt>
                <c:pt idx="719">
                  <c:v>58</c:v>
                </c:pt>
                <c:pt idx="720">
                  <c:v>32</c:v>
                </c:pt>
                <c:pt idx="721">
                  <c:v>55</c:v>
                </c:pt>
                <c:pt idx="722">
                  <c:v>65</c:v>
                </c:pt>
                <c:pt idx="723">
                  <c:v>55</c:v>
                </c:pt>
                <c:pt idx="724">
                  <c:v>62</c:v>
                </c:pt>
                <c:pt idx="725">
                  <c:v>35</c:v>
                </c:pt>
                <c:pt idx="726">
                  <c:v>78</c:v>
                </c:pt>
                <c:pt idx="727">
                  <c:v>53</c:v>
                </c:pt>
                <c:pt idx="728">
                  <c:v>72</c:v>
                </c:pt>
                <c:pt idx="729">
                  <c:v>60</c:v>
                </c:pt>
                <c:pt idx="730">
                  <c:v>45</c:v>
                </c:pt>
                <c:pt idx="731">
                  <c:v>75</c:v>
                </c:pt>
                <c:pt idx="732">
                  <c:v>28</c:v>
                </c:pt>
                <c:pt idx="733">
                  <c:v>52</c:v>
                </c:pt>
                <c:pt idx="734">
                  <c:v>67</c:v>
                </c:pt>
                <c:pt idx="735">
                  <c:v>35</c:v>
                </c:pt>
                <c:pt idx="736">
                  <c:v>50</c:v>
                </c:pt>
                <c:pt idx="737">
                  <c:v>60</c:v>
                </c:pt>
                <c:pt idx="738">
                  <c:v>48</c:v>
                </c:pt>
                <c:pt idx="739">
                  <c:v>65</c:v>
                </c:pt>
                <c:pt idx="740">
                  <c:v>30</c:v>
                </c:pt>
                <c:pt idx="741">
                  <c:v>70</c:v>
                </c:pt>
                <c:pt idx="742">
                  <c:v>55</c:v>
                </c:pt>
                <c:pt idx="743">
                  <c:v>68</c:v>
                </c:pt>
                <c:pt idx="744">
                  <c:v>45</c:v>
                </c:pt>
                <c:pt idx="745">
                  <c:v>40</c:v>
                </c:pt>
                <c:pt idx="746">
                  <c:v>78</c:v>
                </c:pt>
                <c:pt idx="747">
                  <c:v>25</c:v>
                </c:pt>
                <c:pt idx="748">
                  <c:v>52</c:v>
                </c:pt>
                <c:pt idx="749">
                  <c:v>58</c:v>
                </c:pt>
                <c:pt idx="750">
                  <c:v>32</c:v>
                </c:pt>
                <c:pt idx="751">
                  <c:v>55</c:v>
                </c:pt>
                <c:pt idx="752">
                  <c:v>65</c:v>
                </c:pt>
                <c:pt idx="753">
                  <c:v>55</c:v>
                </c:pt>
                <c:pt idx="754">
                  <c:v>62</c:v>
                </c:pt>
                <c:pt idx="755">
                  <c:v>35</c:v>
                </c:pt>
                <c:pt idx="756">
                  <c:v>78</c:v>
                </c:pt>
                <c:pt idx="757">
                  <c:v>53</c:v>
                </c:pt>
                <c:pt idx="758">
                  <c:v>72</c:v>
                </c:pt>
                <c:pt idx="759">
                  <c:v>60</c:v>
                </c:pt>
                <c:pt idx="760">
                  <c:v>45</c:v>
                </c:pt>
                <c:pt idx="761">
                  <c:v>75</c:v>
                </c:pt>
                <c:pt idx="762">
                  <c:v>28</c:v>
                </c:pt>
                <c:pt idx="763">
                  <c:v>52</c:v>
                </c:pt>
                <c:pt idx="764">
                  <c:v>67</c:v>
                </c:pt>
                <c:pt idx="765">
                  <c:v>35</c:v>
                </c:pt>
                <c:pt idx="766">
                  <c:v>50</c:v>
                </c:pt>
                <c:pt idx="767">
                  <c:v>60</c:v>
                </c:pt>
                <c:pt idx="768">
                  <c:v>48</c:v>
                </c:pt>
                <c:pt idx="769">
                  <c:v>65</c:v>
                </c:pt>
                <c:pt idx="770">
                  <c:v>30</c:v>
                </c:pt>
                <c:pt idx="771">
                  <c:v>55</c:v>
                </c:pt>
                <c:pt idx="772">
                  <c:v>68</c:v>
                </c:pt>
                <c:pt idx="773">
                  <c:v>45</c:v>
                </c:pt>
                <c:pt idx="774">
                  <c:v>40</c:v>
                </c:pt>
                <c:pt idx="775">
                  <c:v>78</c:v>
                </c:pt>
                <c:pt idx="776">
                  <c:v>25</c:v>
                </c:pt>
                <c:pt idx="777">
                  <c:v>52</c:v>
                </c:pt>
                <c:pt idx="778">
                  <c:v>58</c:v>
                </c:pt>
                <c:pt idx="779">
                  <c:v>32</c:v>
                </c:pt>
                <c:pt idx="780">
                  <c:v>55</c:v>
                </c:pt>
                <c:pt idx="781">
                  <c:v>65</c:v>
                </c:pt>
                <c:pt idx="782">
                  <c:v>55</c:v>
                </c:pt>
                <c:pt idx="783">
                  <c:v>62</c:v>
                </c:pt>
                <c:pt idx="784">
                  <c:v>35</c:v>
                </c:pt>
                <c:pt idx="785">
                  <c:v>78</c:v>
                </c:pt>
                <c:pt idx="786">
                  <c:v>53</c:v>
                </c:pt>
                <c:pt idx="787">
                  <c:v>72</c:v>
                </c:pt>
                <c:pt idx="788">
                  <c:v>60</c:v>
                </c:pt>
                <c:pt idx="789">
                  <c:v>45</c:v>
                </c:pt>
                <c:pt idx="790">
                  <c:v>75</c:v>
                </c:pt>
                <c:pt idx="791">
                  <c:v>28</c:v>
                </c:pt>
                <c:pt idx="792">
                  <c:v>52</c:v>
                </c:pt>
                <c:pt idx="793">
                  <c:v>67</c:v>
                </c:pt>
                <c:pt idx="794">
                  <c:v>35</c:v>
                </c:pt>
                <c:pt idx="795">
                  <c:v>50</c:v>
                </c:pt>
                <c:pt idx="796">
                  <c:v>60</c:v>
                </c:pt>
                <c:pt idx="797">
                  <c:v>48</c:v>
                </c:pt>
                <c:pt idx="798">
                  <c:v>65</c:v>
                </c:pt>
                <c:pt idx="799">
                  <c:v>30</c:v>
                </c:pt>
                <c:pt idx="800">
                  <c:v>70</c:v>
                </c:pt>
                <c:pt idx="801">
                  <c:v>55</c:v>
                </c:pt>
                <c:pt idx="802">
                  <c:v>68</c:v>
                </c:pt>
                <c:pt idx="803">
                  <c:v>45</c:v>
                </c:pt>
                <c:pt idx="804">
                  <c:v>40</c:v>
                </c:pt>
                <c:pt idx="805">
                  <c:v>78</c:v>
                </c:pt>
                <c:pt idx="806">
                  <c:v>25</c:v>
                </c:pt>
                <c:pt idx="807">
                  <c:v>52</c:v>
                </c:pt>
                <c:pt idx="808">
                  <c:v>58</c:v>
                </c:pt>
                <c:pt idx="809">
                  <c:v>32</c:v>
                </c:pt>
                <c:pt idx="810">
                  <c:v>55</c:v>
                </c:pt>
                <c:pt idx="811">
                  <c:v>65</c:v>
                </c:pt>
                <c:pt idx="812">
                  <c:v>55</c:v>
                </c:pt>
                <c:pt idx="813">
                  <c:v>62</c:v>
                </c:pt>
                <c:pt idx="814">
                  <c:v>35</c:v>
                </c:pt>
                <c:pt idx="815">
                  <c:v>78</c:v>
                </c:pt>
                <c:pt idx="816">
                  <c:v>53</c:v>
                </c:pt>
                <c:pt idx="817">
                  <c:v>72</c:v>
                </c:pt>
                <c:pt idx="818">
                  <c:v>60</c:v>
                </c:pt>
                <c:pt idx="819">
                  <c:v>45</c:v>
                </c:pt>
                <c:pt idx="820">
                  <c:v>75</c:v>
                </c:pt>
                <c:pt idx="821">
                  <c:v>28</c:v>
                </c:pt>
                <c:pt idx="822">
                  <c:v>52</c:v>
                </c:pt>
                <c:pt idx="823">
                  <c:v>67</c:v>
                </c:pt>
                <c:pt idx="824">
                  <c:v>35</c:v>
                </c:pt>
                <c:pt idx="825">
                  <c:v>50</c:v>
                </c:pt>
                <c:pt idx="826">
                  <c:v>60</c:v>
                </c:pt>
                <c:pt idx="827">
                  <c:v>48</c:v>
                </c:pt>
                <c:pt idx="828">
                  <c:v>65</c:v>
                </c:pt>
                <c:pt idx="829">
                  <c:v>30</c:v>
                </c:pt>
                <c:pt idx="830">
                  <c:v>70</c:v>
                </c:pt>
                <c:pt idx="831">
                  <c:v>68</c:v>
                </c:pt>
                <c:pt idx="832">
                  <c:v>45</c:v>
                </c:pt>
                <c:pt idx="833">
                  <c:v>40</c:v>
                </c:pt>
                <c:pt idx="834">
                  <c:v>78</c:v>
                </c:pt>
                <c:pt idx="835">
                  <c:v>25</c:v>
                </c:pt>
                <c:pt idx="836">
                  <c:v>52</c:v>
                </c:pt>
                <c:pt idx="837">
                  <c:v>58</c:v>
                </c:pt>
                <c:pt idx="838">
                  <c:v>32</c:v>
                </c:pt>
                <c:pt idx="839">
                  <c:v>55</c:v>
                </c:pt>
                <c:pt idx="840">
                  <c:v>65</c:v>
                </c:pt>
                <c:pt idx="841">
                  <c:v>55</c:v>
                </c:pt>
                <c:pt idx="842">
                  <c:v>62</c:v>
                </c:pt>
                <c:pt idx="843">
                  <c:v>35</c:v>
                </c:pt>
                <c:pt idx="844">
                  <c:v>78</c:v>
                </c:pt>
                <c:pt idx="845">
                  <c:v>53</c:v>
                </c:pt>
                <c:pt idx="846">
                  <c:v>72</c:v>
                </c:pt>
                <c:pt idx="847">
                  <c:v>60</c:v>
                </c:pt>
                <c:pt idx="848">
                  <c:v>45</c:v>
                </c:pt>
                <c:pt idx="849">
                  <c:v>75</c:v>
                </c:pt>
                <c:pt idx="850">
                  <c:v>28</c:v>
                </c:pt>
                <c:pt idx="851">
                  <c:v>52</c:v>
                </c:pt>
                <c:pt idx="852">
                  <c:v>67</c:v>
                </c:pt>
                <c:pt idx="853">
                  <c:v>35</c:v>
                </c:pt>
                <c:pt idx="854">
                  <c:v>50</c:v>
                </c:pt>
                <c:pt idx="855">
                  <c:v>60</c:v>
                </c:pt>
                <c:pt idx="856">
                  <c:v>48</c:v>
                </c:pt>
                <c:pt idx="857">
                  <c:v>65</c:v>
                </c:pt>
                <c:pt idx="858">
                  <c:v>30</c:v>
                </c:pt>
                <c:pt idx="859">
                  <c:v>70</c:v>
                </c:pt>
                <c:pt idx="860">
                  <c:v>55</c:v>
                </c:pt>
                <c:pt idx="861">
                  <c:v>68</c:v>
                </c:pt>
                <c:pt idx="862">
                  <c:v>45</c:v>
                </c:pt>
                <c:pt idx="863">
                  <c:v>40</c:v>
                </c:pt>
                <c:pt idx="864">
                  <c:v>78</c:v>
                </c:pt>
                <c:pt idx="865">
                  <c:v>25</c:v>
                </c:pt>
                <c:pt idx="866">
                  <c:v>52</c:v>
                </c:pt>
                <c:pt idx="867">
                  <c:v>58</c:v>
                </c:pt>
                <c:pt idx="868">
                  <c:v>32</c:v>
                </c:pt>
                <c:pt idx="869">
                  <c:v>55</c:v>
                </c:pt>
                <c:pt idx="870">
                  <c:v>65</c:v>
                </c:pt>
                <c:pt idx="871">
                  <c:v>55</c:v>
                </c:pt>
                <c:pt idx="872">
                  <c:v>62</c:v>
                </c:pt>
                <c:pt idx="873">
                  <c:v>35</c:v>
                </c:pt>
                <c:pt idx="874">
                  <c:v>78</c:v>
                </c:pt>
                <c:pt idx="875">
                  <c:v>53</c:v>
                </c:pt>
                <c:pt idx="876">
                  <c:v>72</c:v>
                </c:pt>
                <c:pt idx="877">
                  <c:v>60</c:v>
                </c:pt>
                <c:pt idx="878">
                  <c:v>45</c:v>
                </c:pt>
                <c:pt idx="879">
                  <c:v>75</c:v>
                </c:pt>
                <c:pt idx="880">
                  <c:v>28</c:v>
                </c:pt>
                <c:pt idx="881">
                  <c:v>52</c:v>
                </c:pt>
                <c:pt idx="882">
                  <c:v>67</c:v>
                </c:pt>
                <c:pt idx="883">
                  <c:v>35</c:v>
                </c:pt>
                <c:pt idx="884">
                  <c:v>50</c:v>
                </c:pt>
                <c:pt idx="885">
                  <c:v>60</c:v>
                </c:pt>
                <c:pt idx="886">
                  <c:v>48</c:v>
                </c:pt>
                <c:pt idx="887">
                  <c:v>65</c:v>
                </c:pt>
                <c:pt idx="888">
                  <c:v>30</c:v>
                </c:pt>
                <c:pt idx="889">
                  <c:v>70</c:v>
                </c:pt>
                <c:pt idx="890">
                  <c:v>55</c:v>
                </c:pt>
                <c:pt idx="891">
                  <c:v>45</c:v>
                </c:pt>
                <c:pt idx="892">
                  <c:v>40</c:v>
                </c:pt>
                <c:pt idx="893">
                  <c:v>78</c:v>
                </c:pt>
                <c:pt idx="894">
                  <c:v>25</c:v>
                </c:pt>
                <c:pt idx="895">
                  <c:v>52</c:v>
                </c:pt>
                <c:pt idx="896">
                  <c:v>58</c:v>
                </c:pt>
                <c:pt idx="897">
                  <c:v>32</c:v>
                </c:pt>
                <c:pt idx="898">
                  <c:v>55</c:v>
                </c:pt>
                <c:pt idx="899">
                  <c:v>65</c:v>
                </c:pt>
                <c:pt idx="900">
                  <c:v>55</c:v>
                </c:pt>
                <c:pt idx="901">
                  <c:v>62</c:v>
                </c:pt>
                <c:pt idx="902">
                  <c:v>35</c:v>
                </c:pt>
                <c:pt idx="903">
                  <c:v>78</c:v>
                </c:pt>
                <c:pt idx="904">
                  <c:v>53</c:v>
                </c:pt>
                <c:pt idx="905">
                  <c:v>72</c:v>
                </c:pt>
                <c:pt idx="906">
                  <c:v>60</c:v>
                </c:pt>
                <c:pt idx="907">
                  <c:v>45</c:v>
                </c:pt>
                <c:pt idx="908">
                  <c:v>75</c:v>
                </c:pt>
                <c:pt idx="909">
                  <c:v>28</c:v>
                </c:pt>
                <c:pt idx="910">
                  <c:v>52</c:v>
                </c:pt>
                <c:pt idx="911">
                  <c:v>67</c:v>
                </c:pt>
                <c:pt idx="912">
                  <c:v>35</c:v>
                </c:pt>
                <c:pt idx="913">
                  <c:v>50</c:v>
                </c:pt>
                <c:pt idx="914">
                  <c:v>60</c:v>
                </c:pt>
                <c:pt idx="915">
                  <c:v>48</c:v>
                </c:pt>
                <c:pt idx="916">
                  <c:v>65</c:v>
                </c:pt>
                <c:pt idx="917">
                  <c:v>30</c:v>
                </c:pt>
                <c:pt idx="918">
                  <c:v>70</c:v>
                </c:pt>
                <c:pt idx="919">
                  <c:v>55</c:v>
                </c:pt>
                <c:pt idx="920">
                  <c:v>68</c:v>
                </c:pt>
                <c:pt idx="921">
                  <c:v>45</c:v>
                </c:pt>
                <c:pt idx="922">
                  <c:v>40</c:v>
                </c:pt>
                <c:pt idx="923">
                  <c:v>78</c:v>
                </c:pt>
                <c:pt idx="924">
                  <c:v>25</c:v>
                </c:pt>
                <c:pt idx="925">
                  <c:v>52</c:v>
                </c:pt>
                <c:pt idx="926">
                  <c:v>58</c:v>
                </c:pt>
                <c:pt idx="927">
                  <c:v>32</c:v>
                </c:pt>
                <c:pt idx="928">
                  <c:v>55</c:v>
                </c:pt>
                <c:pt idx="929">
                  <c:v>65</c:v>
                </c:pt>
                <c:pt idx="930">
                  <c:v>55</c:v>
                </c:pt>
                <c:pt idx="931">
                  <c:v>62</c:v>
                </c:pt>
                <c:pt idx="932">
                  <c:v>35</c:v>
                </c:pt>
                <c:pt idx="933">
                  <c:v>78</c:v>
                </c:pt>
                <c:pt idx="934">
                  <c:v>53</c:v>
                </c:pt>
                <c:pt idx="935">
                  <c:v>72</c:v>
                </c:pt>
                <c:pt idx="936">
                  <c:v>60</c:v>
                </c:pt>
                <c:pt idx="937">
                  <c:v>45</c:v>
                </c:pt>
                <c:pt idx="938">
                  <c:v>75</c:v>
                </c:pt>
                <c:pt idx="939">
                  <c:v>28</c:v>
                </c:pt>
                <c:pt idx="940">
                  <c:v>52</c:v>
                </c:pt>
                <c:pt idx="941">
                  <c:v>67</c:v>
                </c:pt>
                <c:pt idx="942">
                  <c:v>35</c:v>
                </c:pt>
                <c:pt idx="943">
                  <c:v>50</c:v>
                </c:pt>
                <c:pt idx="944">
                  <c:v>60</c:v>
                </c:pt>
                <c:pt idx="945">
                  <c:v>48</c:v>
                </c:pt>
                <c:pt idx="946">
                  <c:v>65</c:v>
                </c:pt>
                <c:pt idx="947">
                  <c:v>30</c:v>
                </c:pt>
                <c:pt idx="948">
                  <c:v>70</c:v>
                </c:pt>
                <c:pt idx="949">
                  <c:v>55</c:v>
                </c:pt>
                <c:pt idx="950">
                  <c:v>68</c:v>
                </c:pt>
                <c:pt idx="951">
                  <c:v>40</c:v>
                </c:pt>
                <c:pt idx="952">
                  <c:v>78</c:v>
                </c:pt>
                <c:pt idx="953">
                  <c:v>25</c:v>
                </c:pt>
                <c:pt idx="954">
                  <c:v>52</c:v>
                </c:pt>
                <c:pt idx="955">
                  <c:v>58</c:v>
                </c:pt>
                <c:pt idx="956">
                  <c:v>32</c:v>
                </c:pt>
                <c:pt idx="957">
                  <c:v>55</c:v>
                </c:pt>
                <c:pt idx="958">
                  <c:v>65</c:v>
                </c:pt>
                <c:pt idx="959">
                  <c:v>55</c:v>
                </c:pt>
                <c:pt idx="960">
                  <c:v>62</c:v>
                </c:pt>
                <c:pt idx="961">
                  <c:v>35</c:v>
                </c:pt>
                <c:pt idx="962">
                  <c:v>78</c:v>
                </c:pt>
                <c:pt idx="963">
                  <c:v>53</c:v>
                </c:pt>
                <c:pt idx="964">
                  <c:v>72</c:v>
                </c:pt>
                <c:pt idx="965">
                  <c:v>60</c:v>
                </c:pt>
                <c:pt idx="966">
                  <c:v>45</c:v>
                </c:pt>
                <c:pt idx="967">
                  <c:v>75</c:v>
                </c:pt>
                <c:pt idx="968">
                  <c:v>28</c:v>
                </c:pt>
                <c:pt idx="969">
                  <c:v>52</c:v>
                </c:pt>
                <c:pt idx="970">
                  <c:v>67</c:v>
                </c:pt>
                <c:pt idx="971">
                  <c:v>35</c:v>
                </c:pt>
                <c:pt idx="972">
                  <c:v>50</c:v>
                </c:pt>
                <c:pt idx="973">
                  <c:v>60</c:v>
                </c:pt>
                <c:pt idx="974">
                  <c:v>48</c:v>
                </c:pt>
                <c:pt idx="975">
                  <c:v>65</c:v>
                </c:pt>
                <c:pt idx="976">
                  <c:v>30</c:v>
                </c:pt>
                <c:pt idx="977">
                  <c:v>70</c:v>
                </c:pt>
                <c:pt idx="978">
                  <c:v>55</c:v>
                </c:pt>
                <c:pt idx="979">
                  <c:v>68</c:v>
                </c:pt>
                <c:pt idx="980">
                  <c:v>45</c:v>
                </c:pt>
                <c:pt idx="981">
                  <c:v>40</c:v>
                </c:pt>
                <c:pt idx="982">
                  <c:v>78</c:v>
                </c:pt>
                <c:pt idx="983">
                  <c:v>25</c:v>
                </c:pt>
              </c:numCache>
            </c:numRef>
          </c:xVal>
          <c:yVal>
            <c:numRef>
              <c:f>Patients!$F$2:$F$985</c:f>
              <c:numCache>
                <c:formatCode>General</c:formatCode>
                <c:ptCount val="984"/>
                <c:pt idx="0">
                  <c:v>15000</c:v>
                </c:pt>
                <c:pt idx="1">
                  <c:v>2000</c:v>
                </c:pt>
                <c:pt idx="2">
                  <c:v>500</c:v>
                </c:pt>
                <c:pt idx="3">
                  <c:v>10000</c:v>
                </c:pt>
                <c:pt idx="4">
                  <c:v>25000</c:v>
                </c:pt>
                <c:pt idx="5">
                  <c:v>1000</c:v>
                </c:pt>
                <c:pt idx="6">
                  <c:v>8000</c:v>
                </c:pt>
                <c:pt idx="7">
                  <c:v>3000</c:v>
                </c:pt>
                <c:pt idx="8">
                  <c:v>18000</c:v>
                </c:pt>
                <c:pt idx="9">
                  <c:v>100</c:v>
                </c:pt>
                <c:pt idx="10">
                  <c:v>800</c:v>
                </c:pt>
                <c:pt idx="11">
                  <c:v>20000</c:v>
                </c:pt>
                <c:pt idx="12">
                  <c:v>12000</c:v>
                </c:pt>
                <c:pt idx="13">
                  <c:v>6000</c:v>
                </c:pt>
                <c:pt idx="14">
                  <c:v>4000</c:v>
                </c:pt>
                <c:pt idx="15">
                  <c:v>15000</c:v>
                </c:pt>
                <c:pt idx="16">
                  <c:v>2000</c:v>
                </c:pt>
                <c:pt idx="17">
                  <c:v>500</c:v>
                </c:pt>
                <c:pt idx="18">
                  <c:v>10000</c:v>
                </c:pt>
                <c:pt idx="19">
                  <c:v>25000</c:v>
                </c:pt>
                <c:pt idx="20">
                  <c:v>1000</c:v>
                </c:pt>
                <c:pt idx="21">
                  <c:v>8000</c:v>
                </c:pt>
                <c:pt idx="22">
                  <c:v>3000</c:v>
                </c:pt>
                <c:pt idx="23">
                  <c:v>18000</c:v>
                </c:pt>
                <c:pt idx="24">
                  <c:v>100</c:v>
                </c:pt>
                <c:pt idx="25">
                  <c:v>800</c:v>
                </c:pt>
                <c:pt idx="26">
                  <c:v>20000</c:v>
                </c:pt>
                <c:pt idx="27">
                  <c:v>12000</c:v>
                </c:pt>
                <c:pt idx="28">
                  <c:v>6000</c:v>
                </c:pt>
                <c:pt idx="29">
                  <c:v>4000</c:v>
                </c:pt>
                <c:pt idx="30">
                  <c:v>15000</c:v>
                </c:pt>
                <c:pt idx="31">
                  <c:v>2000</c:v>
                </c:pt>
                <c:pt idx="32">
                  <c:v>500</c:v>
                </c:pt>
                <c:pt idx="33">
                  <c:v>10000</c:v>
                </c:pt>
                <c:pt idx="34">
                  <c:v>25000</c:v>
                </c:pt>
                <c:pt idx="35">
                  <c:v>1000</c:v>
                </c:pt>
                <c:pt idx="36">
                  <c:v>8000</c:v>
                </c:pt>
                <c:pt idx="37">
                  <c:v>3000</c:v>
                </c:pt>
                <c:pt idx="38">
                  <c:v>18000</c:v>
                </c:pt>
                <c:pt idx="39">
                  <c:v>100</c:v>
                </c:pt>
                <c:pt idx="40">
                  <c:v>800</c:v>
                </c:pt>
                <c:pt idx="41">
                  <c:v>20000</c:v>
                </c:pt>
                <c:pt idx="42">
                  <c:v>12000</c:v>
                </c:pt>
                <c:pt idx="43">
                  <c:v>6000</c:v>
                </c:pt>
                <c:pt idx="44">
                  <c:v>4000</c:v>
                </c:pt>
                <c:pt idx="45">
                  <c:v>15000</c:v>
                </c:pt>
                <c:pt idx="46">
                  <c:v>2000</c:v>
                </c:pt>
                <c:pt idx="47">
                  <c:v>500</c:v>
                </c:pt>
                <c:pt idx="48">
                  <c:v>10000</c:v>
                </c:pt>
                <c:pt idx="49">
                  <c:v>25000</c:v>
                </c:pt>
                <c:pt idx="50">
                  <c:v>1000</c:v>
                </c:pt>
                <c:pt idx="51">
                  <c:v>8000</c:v>
                </c:pt>
                <c:pt idx="52">
                  <c:v>3000</c:v>
                </c:pt>
                <c:pt idx="53">
                  <c:v>18000</c:v>
                </c:pt>
                <c:pt idx="54">
                  <c:v>100</c:v>
                </c:pt>
                <c:pt idx="55">
                  <c:v>800</c:v>
                </c:pt>
                <c:pt idx="56">
                  <c:v>20000</c:v>
                </c:pt>
                <c:pt idx="57">
                  <c:v>12000</c:v>
                </c:pt>
                <c:pt idx="58">
                  <c:v>6000</c:v>
                </c:pt>
                <c:pt idx="59">
                  <c:v>15000</c:v>
                </c:pt>
                <c:pt idx="60">
                  <c:v>2000</c:v>
                </c:pt>
                <c:pt idx="61">
                  <c:v>500</c:v>
                </c:pt>
                <c:pt idx="62">
                  <c:v>10000</c:v>
                </c:pt>
                <c:pt idx="63">
                  <c:v>25000</c:v>
                </c:pt>
                <c:pt idx="64">
                  <c:v>1000</c:v>
                </c:pt>
                <c:pt idx="65">
                  <c:v>8000</c:v>
                </c:pt>
                <c:pt idx="66">
                  <c:v>3000</c:v>
                </c:pt>
                <c:pt idx="67">
                  <c:v>18000</c:v>
                </c:pt>
                <c:pt idx="68">
                  <c:v>100</c:v>
                </c:pt>
                <c:pt idx="69">
                  <c:v>800</c:v>
                </c:pt>
                <c:pt idx="70">
                  <c:v>20000</c:v>
                </c:pt>
                <c:pt idx="71">
                  <c:v>12000</c:v>
                </c:pt>
                <c:pt idx="72">
                  <c:v>6000</c:v>
                </c:pt>
                <c:pt idx="73">
                  <c:v>4000</c:v>
                </c:pt>
                <c:pt idx="74">
                  <c:v>15000</c:v>
                </c:pt>
                <c:pt idx="75">
                  <c:v>2000</c:v>
                </c:pt>
                <c:pt idx="76">
                  <c:v>500</c:v>
                </c:pt>
                <c:pt idx="77">
                  <c:v>10000</c:v>
                </c:pt>
                <c:pt idx="78">
                  <c:v>25000</c:v>
                </c:pt>
                <c:pt idx="79">
                  <c:v>1000</c:v>
                </c:pt>
                <c:pt idx="80">
                  <c:v>8000</c:v>
                </c:pt>
                <c:pt idx="81">
                  <c:v>3000</c:v>
                </c:pt>
                <c:pt idx="82">
                  <c:v>18000</c:v>
                </c:pt>
                <c:pt idx="83">
                  <c:v>100</c:v>
                </c:pt>
                <c:pt idx="84">
                  <c:v>800</c:v>
                </c:pt>
                <c:pt idx="85">
                  <c:v>20000</c:v>
                </c:pt>
                <c:pt idx="86">
                  <c:v>12000</c:v>
                </c:pt>
                <c:pt idx="87">
                  <c:v>6000</c:v>
                </c:pt>
                <c:pt idx="88">
                  <c:v>4000</c:v>
                </c:pt>
                <c:pt idx="89">
                  <c:v>15000</c:v>
                </c:pt>
                <c:pt idx="90">
                  <c:v>2000</c:v>
                </c:pt>
                <c:pt idx="91">
                  <c:v>500</c:v>
                </c:pt>
                <c:pt idx="92">
                  <c:v>10000</c:v>
                </c:pt>
                <c:pt idx="93">
                  <c:v>25000</c:v>
                </c:pt>
                <c:pt idx="94">
                  <c:v>1000</c:v>
                </c:pt>
                <c:pt idx="95">
                  <c:v>8000</c:v>
                </c:pt>
                <c:pt idx="96">
                  <c:v>3000</c:v>
                </c:pt>
                <c:pt idx="97">
                  <c:v>18000</c:v>
                </c:pt>
                <c:pt idx="98">
                  <c:v>100</c:v>
                </c:pt>
                <c:pt idx="99">
                  <c:v>800</c:v>
                </c:pt>
                <c:pt idx="100">
                  <c:v>20000</c:v>
                </c:pt>
                <c:pt idx="101">
                  <c:v>12000</c:v>
                </c:pt>
                <c:pt idx="102">
                  <c:v>6000</c:v>
                </c:pt>
                <c:pt idx="103">
                  <c:v>4000</c:v>
                </c:pt>
                <c:pt idx="104">
                  <c:v>15000</c:v>
                </c:pt>
                <c:pt idx="105">
                  <c:v>2000</c:v>
                </c:pt>
                <c:pt idx="106">
                  <c:v>500</c:v>
                </c:pt>
                <c:pt idx="107">
                  <c:v>10000</c:v>
                </c:pt>
                <c:pt idx="108">
                  <c:v>25000</c:v>
                </c:pt>
                <c:pt idx="109">
                  <c:v>1000</c:v>
                </c:pt>
                <c:pt idx="110">
                  <c:v>8000</c:v>
                </c:pt>
                <c:pt idx="111">
                  <c:v>3000</c:v>
                </c:pt>
                <c:pt idx="112">
                  <c:v>18000</c:v>
                </c:pt>
                <c:pt idx="113">
                  <c:v>100</c:v>
                </c:pt>
                <c:pt idx="114">
                  <c:v>800</c:v>
                </c:pt>
                <c:pt idx="115">
                  <c:v>20000</c:v>
                </c:pt>
                <c:pt idx="116">
                  <c:v>12000</c:v>
                </c:pt>
                <c:pt idx="117">
                  <c:v>6000</c:v>
                </c:pt>
                <c:pt idx="118">
                  <c:v>4000</c:v>
                </c:pt>
                <c:pt idx="119">
                  <c:v>2000</c:v>
                </c:pt>
                <c:pt idx="120">
                  <c:v>500</c:v>
                </c:pt>
                <c:pt idx="121">
                  <c:v>10000</c:v>
                </c:pt>
                <c:pt idx="122">
                  <c:v>25000</c:v>
                </c:pt>
                <c:pt idx="123">
                  <c:v>1000</c:v>
                </c:pt>
                <c:pt idx="124">
                  <c:v>8000</c:v>
                </c:pt>
                <c:pt idx="125">
                  <c:v>3000</c:v>
                </c:pt>
                <c:pt idx="126">
                  <c:v>18000</c:v>
                </c:pt>
                <c:pt idx="127">
                  <c:v>100</c:v>
                </c:pt>
                <c:pt idx="128">
                  <c:v>800</c:v>
                </c:pt>
                <c:pt idx="129">
                  <c:v>20000</c:v>
                </c:pt>
                <c:pt idx="130">
                  <c:v>12000</c:v>
                </c:pt>
                <c:pt idx="131">
                  <c:v>6000</c:v>
                </c:pt>
                <c:pt idx="132">
                  <c:v>4000</c:v>
                </c:pt>
                <c:pt idx="133">
                  <c:v>15000</c:v>
                </c:pt>
                <c:pt idx="134">
                  <c:v>2000</c:v>
                </c:pt>
                <c:pt idx="135">
                  <c:v>500</c:v>
                </c:pt>
                <c:pt idx="136">
                  <c:v>10000</c:v>
                </c:pt>
                <c:pt idx="137">
                  <c:v>25000</c:v>
                </c:pt>
                <c:pt idx="138">
                  <c:v>1000</c:v>
                </c:pt>
                <c:pt idx="139">
                  <c:v>8000</c:v>
                </c:pt>
                <c:pt idx="140">
                  <c:v>3000</c:v>
                </c:pt>
                <c:pt idx="141">
                  <c:v>18000</c:v>
                </c:pt>
                <c:pt idx="142">
                  <c:v>100</c:v>
                </c:pt>
                <c:pt idx="143">
                  <c:v>800</c:v>
                </c:pt>
                <c:pt idx="144">
                  <c:v>20000</c:v>
                </c:pt>
                <c:pt idx="145">
                  <c:v>12000</c:v>
                </c:pt>
                <c:pt idx="146">
                  <c:v>6000</c:v>
                </c:pt>
                <c:pt idx="147">
                  <c:v>4000</c:v>
                </c:pt>
                <c:pt idx="148">
                  <c:v>15000</c:v>
                </c:pt>
                <c:pt idx="149">
                  <c:v>2000</c:v>
                </c:pt>
                <c:pt idx="150">
                  <c:v>500</c:v>
                </c:pt>
                <c:pt idx="151">
                  <c:v>10000</c:v>
                </c:pt>
                <c:pt idx="152">
                  <c:v>25000</c:v>
                </c:pt>
                <c:pt idx="153">
                  <c:v>1000</c:v>
                </c:pt>
                <c:pt idx="154">
                  <c:v>8000</c:v>
                </c:pt>
                <c:pt idx="155">
                  <c:v>3000</c:v>
                </c:pt>
                <c:pt idx="156">
                  <c:v>18000</c:v>
                </c:pt>
                <c:pt idx="157">
                  <c:v>100</c:v>
                </c:pt>
                <c:pt idx="158">
                  <c:v>800</c:v>
                </c:pt>
                <c:pt idx="159">
                  <c:v>20000</c:v>
                </c:pt>
                <c:pt idx="160">
                  <c:v>12000</c:v>
                </c:pt>
                <c:pt idx="161">
                  <c:v>6000</c:v>
                </c:pt>
                <c:pt idx="162">
                  <c:v>4000</c:v>
                </c:pt>
                <c:pt idx="163">
                  <c:v>15000</c:v>
                </c:pt>
                <c:pt idx="164">
                  <c:v>2000</c:v>
                </c:pt>
                <c:pt idx="165">
                  <c:v>500</c:v>
                </c:pt>
                <c:pt idx="166">
                  <c:v>10000</c:v>
                </c:pt>
                <c:pt idx="167">
                  <c:v>25000</c:v>
                </c:pt>
                <c:pt idx="168">
                  <c:v>1000</c:v>
                </c:pt>
                <c:pt idx="169">
                  <c:v>8000</c:v>
                </c:pt>
                <c:pt idx="170">
                  <c:v>3000</c:v>
                </c:pt>
                <c:pt idx="171">
                  <c:v>18000</c:v>
                </c:pt>
                <c:pt idx="172">
                  <c:v>100</c:v>
                </c:pt>
                <c:pt idx="173">
                  <c:v>800</c:v>
                </c:pt>
                <c:pt idx="174">
                  <c:v>20000</c:v>
                </c:pt>
                <c:pt idx="175">
                  <c:v>12000</c:v>
                </c:pt>
                <c:pt idx="176">
                  <c:v>6000</c:v>
                </c:pt>
                <c:pt idx="177">
                  <c:v>4000</c:v>
                </c:pt>
                <c:pt idx="178">
                  <c:v>15000</c:v>
                </c:pt>
                <c:pt idx="179">
                  <c:v>500</c:v>
                </c:pt>
                <c:pt idx="180">
                  <c:v>10000</c:v>
                </c:pt>
                <c:pt idx="181">
                  <c:v>25000</c:v>
                </c:pt>
                <c:pt idx="182">
                  <c:v>1000</c:v>
                </c:pt>
                <c:pt idx="183">
                  <c:v>8000</c:v>
                </c:pt>
                <c:pt idx="184">
                  <c:v>3000</c:v>
                </c:pt>
                <c:pt idx="185">
                  <c:v>18000</c:v>
                </c:pt>
                <c:pt idx="186">
                  <c:v>100</c:v>
                </c:pt>
                <c:pt idx="187">
                  <c:v>800</c:v>
                </c:pt>
                <c:pt idx="188">
                  <c:v>20000</c:v>
                </c:pt>
                <c:pt idx="189">
                  <c:v>12000</c:v>
                </c:pt>
                <c:pt idx="190">
                  <c:v>6000</c:v>
                </c:pt>
                <c:pt idx="191">
                  <c:v>4000</c:v>
                </c:pt>
                <c:pt idx="192">
                  <c:v>15000</c:v>
                </c:pt>
                <c:pt idx="193">
                  <c:v>2000</c:v>
                </c:pt>
                <c:pt idx="194">
                  <c:v>500</c:v>
                </c:pt>
                <c:pt idx="195">
                  <c:v>10000</c:v>
                </c:pt>
                <c:pt idx="196">
                  <c:v>25000</c:v>
                </c:pt>
                <c:pt idx="197">
                  <c:v>1000</c:v>
                </c:pt>
                <c:pt idx="198">
                  <c:v>8000</c:v>
                </c:pt>
                <c:pt idx="199">
                  <c:v>3000</c:v>
                </c:pt>
                <c:pt idx="200">
                  <c:v>18000</c:v>
                </c:pt>
                <c:pt idx="201">
                  <c:v>100</c:v>
                </c:pt>
                <c:pt idx="202">
                  <c:v>800</c:v>
                </c:pt>
                <c:pt idx="203">
                  <c:v>20000</c:v>
                </c:pt>
                <c:pt idx="204">
                  <c:v>12000</c:v>
                </c:pt>
                <c:pt idx="205">
                  <c:v>6000</c:v>
                </c:pt>
                <c:pt idx="206">
                  <c:v>4000</c:v>
                </c:pt>
                <c:pt idx="207">
                  <c:v>15000</c:v>
                </c:pt>
                <c:pt idx="208">
                  <c:v>2000</c:v>
                </c:pt>
                <c:pt idx="209">
                  <c:v>500</c:v>
                </c:pt>
                <c:pt idx="210">
                  <c:v>10000</c:v>
                </c:pt>
                <c:pt idx="211">
                  <c:v>25000</c:v>
                </c:pt>
                <c:pt idx="212">
                  <c:v>1000</c:v>
                </c:pt>
                <c:pt idx="213">
                  <c:v>8000</c:v>
                </c:pt>
                <c:pt idx="214">
                  <c:v>3000</c:v>
                </c:pt>
                <c:pt idx="215">
                  <c:v>18000</c:v>
                </c:pt>
                <c:pt idx="216">
                  <c:v>100</c:v>
                </c:pt>
                <c:pt idx="217">
                  <c:v>800</c:v>
                </c:pt>
                <c:pt idx="218">
                  <c:v>20000</c:v>
                </c:pt>
                <c:pt idx="219">
                  <c:v>12000</c:v>
                </c:pt>
                <c:pt idx="220">
                  <c:v>6000</c:v>
                </c:pt>
                <c:pt idx="221">
                  <c:v>4000</c:v>
                </c:pt>
                <c:pt idx="222">
                  <c:v>15000</c:v>
                </c:pt>
                <c:pt idx="223">
                  <c:v>2000</c:v>
                </c:pt>
                <c:pt idx="224">
                  <c:v>500</c:v>
                </c:pt>
                <c:pt idx="225">
                  <c:v>10000</c:v>
                </c:pt>
                <c:pt idx="226">
                  <c:v>25000</c:v>
                </c:pt>
                <c:pt idx="227">
                  <c:v>1000</c:v>
                </c:pt>
                <c:pt idx="228">
                  <c:v>8000</c:v>
                </c:pt>
                <c:pt idx="229">
                  <c:v>3000</c:v>
                </c:pt>
                <c:pt idx="230">
                  <c:v>18000</c:v>
                </c:pt>
                <c:pt idx="231">
                  <c:v>100</c:v>
                </c:pt>
                <c:pt idx="232">
                  <c:v>800</c:v>
                </c:pt>
                <c:pt idx="233">
                  <c:v>20000</c:v>
                </c:pt>
                <c:pt idx="234">
                  <c:v>12000</c:v>
                </c:pt>
                <c:pt idx="235">
                  <c:v>6000</c:v>
                </c:pt>
                <c:pt idx="236">
                  <c:v>4000</c:v>
                </c:pt>
                <c:pt idx="237">
                  <c:v>15000</c:v>
                </c:pt>
                <c:pt idx="238">
                  <c:v>2000</c:v>
                </c:pt>
                <c:pt idx="239">
                  <c:v>10000</c:v>
                </c:pt>
                <c:pt idx="240">
                  <c:v>25000</c:v>
                </c:pt>
                <c:pt idx="241">
                  <c:v>1000</c:v>
                </c:pt>
                <c:pt idx="242">
                  <c:v>8000</c:v>
                </c:pt>
                <c:pt idx="243">
                  <c:v>3000</c:v>
                </c:pt>
                <c:pt idx="244">
                  <c:v>18000</c:v>
                </c:pt>
                <c:pt idx="245">
                  <c:v>100</c:v>
                </c:pt>
                <c:pt idx="246">
                  <c:v>800</c:v>
                </c:pt>
                <c:pt idx="247">
                  <c:v>20000</c:v>
                </c:pt>
                <c:pt idx="248">
                  <c:v>12000</c:v>
                </c:pt>
                <c:pt idx="249">
                  <c:v>6000</c:v>
                </c:pt>
                <c:pt idx="250">
                  <c:v>4000</c:v>
                </c:pt>
                <c:pt idx="251">
                  <c:v>15000</c:v>
                </c:pt>
                <c:pt idx="252">
                  <c:v>2000</c:v>
                </c:pt>
                <c:pt idx="253">
                  <c:v>500</c:v>
                </c:pt>
                <c:pt idx="254">
                  <c:v>10000</c:v>
                </c:pt>
                <c:pt idx="255">
                  <c:v>25000</c:v>
                </c:pt>
                <c:pt idx="256">
                  <c:v>1000</c:v>
                </c:pt>
                <c:pt idx="257">
                  <c:v>8000</c:v>
                </c:pt>
                <c:pt idx="258">
                  <c:v>3000</c:v>
                </c:pt>
                <c:pt idx="259">
                  <c:v>18000</c:v>
                </c:pt>
                <c:pt idx="260">
                  <c:v>100</c:v>
                </c:pt>
                <c:pt idx="261">
                  <c:v>800</c:v>
                </c:pt>
                <c:pt idx="262">
                  <c:v>20000</c:v>
                </c:pt>
                <c:pt idx="263">
                  <c:v>12000</c:v>
                </c:pt>
                <c:pt idx="264">
                  <c:v>6000</c:v>
                </c:pt>
                <c:pt idx="265">
                  <c:v>4000</c:v>
                </c:pt>
                <c:pt idx="266">
                  <c:v>15000</c:v>
                </c:pt>
                <c:pt idx="267">
                  <c:v>2000</c:v>
                </c:pt>
                <c:pt idx="268">
                  <c:v>500</c:v>
                </c:pt>
                <c:pt idx="269">
                  <c:v>10000</c:v>
                </c:pt>
                <c:pt idx="270">
                  <c:v>25000</c:v>
                </c:pt>
                <c:pt idx="271">
                  <c:v>1000</c:v>
                </c:pt>
                <c:pt idx="272">
                  <c:v>8000</c:v>
                </c:pt>
                <c:pt idx="273">
                  <c:v>3000</c:v>
                </c:pt>
                <c:pt idx="274">
                  <c:v>18000</c:v>
                </c:pt>
                <c:pt idx="275">
                  <c:v>100</c:v>
                </c:pt>
                <c:pt idx="276">
                  <c:v>800</c:v>
                </c:pt>
                <c:pt idx="277">
                  <c:v>20000</c:v>
                </c:pt>
                <c:pt idx="278">
                  <c:v>12000</c:v>
                </c:pt>
                <c:pt idx="279">
                  <c:v>6000</c:v>
                </c:pt>
                <c:pt idx="280">
                  <c:v>4000</c:v>
                </c:pt>
                <c:pt idx="281">
                  <c:v>15000</c:v>
                </c:pt>
                <c:pt idx="282">
                  <c:v>2000</c:v>
                </c:pt>
                <c:pt idx="283">
                  <c:v>500</c:v>
                </c:pt>
                <c:pt idx="284">
                  <c:v>10000</c:v>
                </c:pt>
                <c:pt idx="285">
                  <c:v>25000</c:v>
                </c:pt>
                <c:pt idx="286">
                  <c:v>1000</c:v>
                </c:pt>
                <c:pt idx="287">
                  <c:v>8000</c:v>
                </c:pt>
                <c:pt idx="288">
                  <c:v>3000</c:v>
                </c:pt>
                <c:pt idx="289">
                  <c:v>18000</c:v>
                </c:pt>
                <c:pt idx="290">
                  <c:v>800</c:v>
                </c:pt>
                <c:pt idx="291">
                  <c:v>20000</c:v>
                </c:pt>
                <c:pt idx="292">
                  <c:v>12000</c:v>
                </c:pt>
                <c:pt idx="293">
                  <c:v>6000</c:v>
                </c:pt>
                <c:pt idx="294">
                  <c:v>4000</c:v>
                </c:pt>
                <c:pt idx="295">
                  <c:v>15000</c:v>
                </c:pt>
                <c:pt idx="296">
                  <c:v>2000</c:v>
                </c:pt>
                <c:pt idx="297">
                  <c:v>500</c:v>
                </c:pt>
                <c:pt idx="298">
                  <c:v>10000</c:v>
                </c:pt>
                <c:pt idx="299">
                  <c:v>25000</c:v>
                </c:pt>
                <c:pt idx="300">
                  <c:v>1000</c:v>
                </c:pt>
                <c:pt idx="301">
                  <c:v>8000</c:v>
                </c:pt>
                <c:pt idx="302">
                  <c:v>3000</c:v>
                </c:pt>
                <c:pt idx="303">
                  <c:v>18000</c:v>
                </c:pt>
                <c:pt idx="304">
                  <c:v>100</c:v>
                </c:pt>
                <c:pt idx="305">
                  <c:v>800</c:v>
                </c:pt>
                <c:pt idx="306">
                  <c:v>20000</c:v>
                </c:pt>
                <c:pt idx="307">
                  <c:v>12000</c:v>
                </c:pt>
                <c:pt idx="308">
                  <c:v>6000</c:v>
                </c:pt>
                <c:pt idx="309">
                  <c:v>4000</c:v>
                </c:pt>
                <c:pt idx="310">
                  <c:v>15000</c:v>
                </c:pt>
                <c:pt idx="311">
                  <c:v>2000</c:v>
                </c:pt>
                <c:pt idx="312">
                  <c:v>500</c:v>
                </c:pt>
                <c:pt idx="313">
                  <c:v>10000</c:v>
                </c:pt>
                <c:pt idx="314">
                  <c:v>25000</c:v>
                </c:pt>
                <c:pt idx="315">
                  <c:v>1000</c:v>
                </c:pt>
                <c:pt idx="316">
                  <c:v>8000</c:v>
                </c:pt>
                <c:pt idx="317">
                  <c:v>3000</c:v>
                </c:pt>
                <c:pt idx="318">
                  <c:v>18000</c:v>
                </c:pt>
                <c:pt idx="319">
                  <c:v>100</c:v>
                </c:pt>
                <c:pt idx="320">
                  <c:v>800</c:v>
                </c:pt>
                <c:pt idx="321">
                  <c:v>20000</c:v>
                </c:pt>
                <c:pt idx="322">
                  <c:v>12000</c:v>
                </c:pt>
                <c:pt idx="323">
                  <c:v>6000</c:v>
                </c:pt>
                <c:pt idx="324">
                  <c:v>4000</c:v>
                </c:pt>
                <c:pt idx="325">
                  <c:v>15000</c:v>
                </c:pt>
                <c:pt idx="326">
                  <c:v>2000</c:v>
                </c:pt>
                <c:pt idx="327">
                  <c:v>500</c:v>
                </c:pt>
                <c:pt idx="328">
                  <c:v>10000</c:v>
                </c:pt>
                <c:pt idx="329">
                  <c:v>25000</c:v>
                </c:pt>
                <c:pt idx="330">
                  <c:v>1000</c:v>
                </c:pt>
                <c:pt idx="331">
                  <c:v>8000</c:v>
                </c:pt>
                <c:pt idx="332">
                  <c:v>3000</c:v>
                </c:pt>
                <c:pt idx="333">
                  <c:v>18000</c:v>
                </c:pt>
                <c:pt idx="334">
                  <c:v>100</c:v>
                </c:pt>
                <c:pt idx="335">
                  <c:v>800</c:v>
                </c:pt>
                <c:pt idx="336">
                  <c:v>20000</c:v>
                </c:pt>
                <c:pt idx="337">
                  <c:v>12000</c:v>
                </c:pt>
                <c:pt idx="338">
                  <c:v>6000</c:v>
                </c:pt>
                <c:pt idx="339">
                  <c:v>4000</c:v>
                </c:pt>
                <c:pt idx="340">
                  <c:v>15000</c:v>
                </c:pt>
                <c:pt idx="341">
                  <c:v>2000</c:v>
                </c:pt>
                <c:pt idx="342">
                  <c:v>500</c:v>
                </c:pt>
                <c:pt idx="343">
                  <c:v>10000</c:v>
                </c:pt>
                <c:pt idx="344">
                  <c:v>25000</c:v>
                </c:pt>
                <c:pt idx="345">
                  <c:v>1000</c:v>
                </c:pt>
                <c:pt idx="346">
                  <c:v>8000</c:v>
                </c:pt>
                <c:pt idx="347">
                  <c:v>3000</c:v>
                </c:pt>
                <c:pt idx="348">
                  <c:v>18000</c:v>
                </c:pt>
                <c:pt idx="349">
                  <c:v>100</c:v>
                </c:pt>
                <c:pt idx="350">
                  <c:v>20000</c:v>
                </c:pt>
                <c:pt idx="351">
                  <c:v>12000</c:v>
                </c:pt>
                <c:pt idx="352">
                  <c:v>6000</c:v>
                </c:pt>
                <c:pt idx="353">
                  <c:v>4000</c:v>
                </c:pt>
                <c:pt idx="354">
                  <c:v>15000</c:v>
                </c:pt>
                <c:pt idx="355">
                  <c:v>2000</c:v>
                </c:pt>
                <c:pt idx="356">
                  <c:v>500</c:v>
                </c:pt>
                <c:pt idx="357">
                  <c:v>10000</c:v>
                </c:pt>
                <c:pt idx="358">
                  <c:v>25000</c:v>
                </c:pt>
                <c:pt idx="359">
                  <c:v>1000</c:v>
                </c:pt>
                <c:pt idx="360">
                  <c:v>8000</c:v>
                </c:pt>
                <c:pt idx="361">
                  <c:v>3000</c:v>
                </c:pt>
                <c:pt idx="362">
                  <c:v>18000</c:v>
                </c:pt>
                <c:pt idx="363">
                  <c:v>100</c:v>
                </c:pt>
                <c:pt idx="364">
                  <c:v>800</c:v>
                </c:pt>
                <c:pt idx="365">
                  <c:v>20000</c:v>
                </c:pt>
                <c:pt idx="366">
                  <c:v>12000</c:v>
                </c:pt>
                <c:pt idx="367">
                  <c:v>6000</c:v>
                </c:pt>
                <c:pt idx="368">
                  <c:v>4000</c:v>
                </c:pt>
                <c:pt idx="369">
                  <c:v>15000</c:v>
                </c:pt>
                <c:pt idx="370">
                  <c:v>2000</c:v>
                </c:pt>
                <c:pt idx="371">
                  <c:v>500</c:v>
                </c:pt>
                <c:pt idx="372">
                  <c:v>10000</c:v>
                </c:pt>
                <c:pt idx="373">
                  <c:v>25000</c:v>
                </c:pt>
                <c:pt idx="374">
                  <c:v>1000</c:v>
                </c:pt>
                <c:pt idx="375">
                  <c:v>8000</c:v>
                </c:pt>
                <c:pt idx="376">
                  <c:v>3000</c:v>
                </c:pt>
                <c:pt idx="377">
                  <c:v>18000</c:v>
                </c:pt>
                <c:pt idx="378">
                  <c:v>100</c:v>
                </c:pt>
                <c:pt idx="379">
                  <c:v>800</c:v>
                </c:pt>
                <c:pt idx="380">
                  <c:v>20000</c:v>
                </c:pt>
                <c:pt idx="381">
                  <c:v>12000</c:v>
                </c:pt>
                <c:pt idx="382">
                  <c:v>6000</c:v>
                </c:pt>
                <c:pt idx="383">
                  <c:v>4000</c:v>
                </c:pt>
                <c:pt idx="384">
                  <c:v>15000</c:v>
                </c:pt>
                <c:pt idx="385">
                  <c:v>2000</c:v>
                </c:pt>
                <c:pt idx="386">
                  <c:v>500</c:v>
                </c:pt>
                <c:pt idx="387">
                  <c:v>10000</c:v>
                </c:pt>
                <c:pt idx="388">
                  <c:v>25000</c:v>
                </c:pt>
                <c:pt idx="389">
                  <c:v>1000</c:v>
                </c:pt>
                <c:pt idx="390">
                  <c:v>8000</c:v>
                </c:pt>
                <c:pt idx="391">
                  <c:v>3000</c:v>
                </c:pt>
                <c:pt idx="392">
                  <c:v>18000</c:v>
                </c:pt>
                <c:pt idx="393">
                  <c:v>100</c:v>
                </c:pt>
                <c:pt idx="394">
                  <c:v>800</c:v>
                </c:pt>
                <c:pt idx="395">
                  <c:v>20000</c:v>
                </c:pt>
                <c:pt idx="396">
                  <c:v>12000</c:v>
                </c:pt>
                <c:pt idx="397">
                  <c:v>6000</c:v>
                </c:pt>
                <c:pt idx="398">
                  <c:v>4000</c:v>
                </c:pt>
                <c:pt idx="399">
                  <c:v>15000</c:v>
                </c:pt>
                <c:pt idx="400">
                  <c:v>2000</c:v>
                </c:pt>
                <c:pt idx="401">
                  <c:v>500</c:v>
                </c:pt>
                <c:pt idx="402">
                  <c:v>10000</c:v>
                </c:pt>
                <c:pt idx="403">
                  <c:v>25000</c:v>
                </c:pt>
                <c:pt idx="404">
                  <c:v>1000</c:v>
                </c:pt>
                <c:pt idx="405">
                  <c:v>8000</c:v>
                </c:pt>
                <c:pt idx="406">
                  <c:v>3000</c:v>
                </c:pt>
                <c:pt idx="407">
                  <c:v>18000</c:v>
                </c:pt>
                <c:pt idx="408">
                  <c:v>100</c:v>
                </c:pt>
                <c:pt idx="409">
                  <c:v>800</c:v>
                </c:pt>
                <c:pt idx="410">
                  <c:v>12000</c:v>
                </c:pt>
                <c:pt idx="411">
                  <c:v>6000</c:v>
                </c:pt>
                <c:pt idx="412">
                  <c:v>4000</c:v>
                </c:pt>
                <c:pt idx="413">
                  <c:v>15000</c:v>
                </c:pt>
                <c:pt idx="414">
                  <c:v>2000</c:v>
                </c:pt>
                <c:pt idx="415">
                  <c:v>500</c:v>
                </c:pt>
                <c:pt idx="416">
                  <c:v>10000</c:v>
                </c:pt>
                <c:pt idx="417">
                  <c:v>25000</c:v>
                </c:pt>
                <c:pt idx="418">
                  <c:v>1000</c:v>
                </c:pt>
                <c:pt idx="419">
                  <c:v>8000</c:v>
                </c:pt>
                <c:pt idx="420">
                  <c:v>3000</c:v>
                </c:pt>
                <c:pt idx="421">
                  <c:v>18000</c:v>
                </c:pt>
                <c:pt idx="422">
                  <c:v>100</c:v>
                </c:pt>
                <c:pt idx="423">
                  <c:v>800</c:v>
                </c:pt>
                <c:pt idx="424">
                  <c:v>20000</c:v>
                </c:pt>
                <c:pt idx="425">
                  <c:v>12000</c:v>
                </c:pt>
                <c:pt idx="426">
                  <c:v>6000</c:v>
                </c:pt>
                <c:pt idx="427">
                  <c:v>4000</c:v>
                </c:pt>
                <c:pt idx="428">
                  <c:v>15000</c:v>
                </c:pt>
                <c:pt idx="429">
                  <c:v>2000</c:v>
                </c:pt>
                <c:pt idx="430">
                  <c:v>500</c:v>
                </c:pt>
                <c:pt idx="431">
                  <c:v>10000</c:v>
                </c:pt>
                <c:pt idx="432">
                  <c:v>25000</c:v>
                </c:pt>
                <c:pt idx="433">
                  <c:v>1000</c:v>
                </c:pt>
                <c:pt idx="434">
                  <c:v>8000</c:v>
                </c:pt>
                <c:pt idx="435">
                  <c:v>3000</c:v>
                </c:pt>
                <c:pt idx="436">
                  <c:v>18000</c:v>
                </c:pt>
                <c:pt idx="437">
                  <c:v>100</c:v>
                </c:pt>
                <c:pt idx="438">
                  <c:v>800</c:v>
                </c:pt>
                <c:pt idx="439">
                  <c:v>20000</c:v>
                </c:pt>
                <c:pt idx="440">
                  <c:v>12000</c:v>
                </c:pt>
                <c:pt idx="441">
                  <c:v>6000</c:v>
                </c:pt>
                <c:pt idx="442">
                  <c:v>4000</c:v>
                </c:pt>
                <c:pt idx="443">
                  <c:v>15000</c:v>
                </c:pt>
                <c:pt idx="444">
                  <c:v>2000</c:v>
                </c:pt>
                <c:pt idx="445">
                  <c:v>500</c:v>
                </c:pt>
                <c:pt idx="446">
                  <c:v>10000</c:v>
                </c:pt>
                <c:pt idx="447">
                  <c:v>25000</c:v>
                </c:pt>
                <c:pt idx="448">
                  <c:v>1000</c:v>
                </c:pt>
                <c:pt idx="449">
                  <c:v>8000</c:v>
                </c:pt>
                <c:pt idx="450">
                  <c:v>3000</c:v>
                </c:pt>
                <c:pt idx="451">
                  <c:v>18000</c:v>
                </c:pt>
                <c:pt idx="452">
                  <c:v>100</c:v>
                </c:pt>
                <c:pt idx="453">
                  <c:v>800</c:v>
                </c:pt>
                <c:pt idx="454">
                  <c:v>20000</c:v>
                </c:pt>
                <c:pt idx="455">
                  <c:v>12000</c:v>
                </c:pt>
                <c:pt idx="456">
                  <c:v>6000</c:v>
                </c:pt>
                <c:pt idx="457">
                  <c:v>4000</c:v>
                </c:pt>
                <c:pt idx="458">
                  <c:v>15000</c:v>
                </c:pt>
                <c:pt idx="459">
                  <c:v>2000</c:v>
                </c:pt>
                <c:pt idx="460">
                  <c:v>500</c:v>
                </c:pt>
                <c:pt idx="461">
                  <c:v>10000</c:v>
                </c:pt>
                <c:pt idx="462">
                  <c:v>25000</c:v>
                </c:pt>
                <c:pt idx="463">
                  <c:v>1000</c:v>
                </c:pt>
                <c:pt idx="464">
                  <c:v>8000</c:v>
                </c:pt>
                <c:pt idx="465">
                  <c:v>3000</c:v>
                </c:pt>
                <c:pt idx="466">
                  <c:v>18000</c:v>
                </c:pt>
                <c:pt idx="467">
                  <c:v>100</c:v>
                </c:pt>
                <c:pt idx="468">
                  <c:v>800</c:v>
                </c:pt>
                <c:pt idx="469">
                  <c:v>20000</c:v>
                </c:pt>
                <c:pt idx="470">
                  <c:v>6000</c:v>
                </c:pt>
                <c:pt idx="471">
                  <c:v>4000</c:v>
                </c:pt>
                <c:pt idx="472">
                  <c:v>15000</c:v>
                </c:pt>
                <c:pt idx="473">
                  <c:v>2000</c:v>
                </c:pt>
                <c:pt idx="474">
                  <c:v>500</c:v>
                </c:pt>
                <c:pt idx="475">
                  <c:v>10000</c:v>
                </c:pt>
                <c:pt idx="476">
                  <c:v>25000</c:v>
                </c:pt>
                <c:pt idx="477">
                  <c:v>1000</c:v>
                </c:pt>
                <c:pt idx="478">
                  <c:v>8000</c:v>
                </c:pt>
                <c:pt idx="479">
                  <c:v>3000</c:v>
                </c:pt>
                <c:pt idx="480">
                  <c:v>18000</c:v>
                </c:pt>
                <c:pt idx="481">
                  <c:v>100</c:v>
                </c:pt>
                <c:pt idx="482">
                  <c:v>800</c:v>
                </c:pt>
                <c:pt idx="483">
                  <c:v>20000</c:v>
                </c:pt>
                <c:pt idx="484">
                  <c:v>12000</c:v>
                </c:pt>
                <c:pt idx="485">
                  <c:v>6000</c:v>
                </c:pt>
                <c:pt idx="486">
                  <c:v>4000</c:v>
                </c:pt>
                <c:pt idx="487">
                  <c:v>15000</c:v>
                </c:pt>
                <c:pt idx="488">
                  <c:v>2000</c:v>
                </c:pt>
                <c:pt idx="489">
                  <c:v>500</c:v>
                </c:pt>
                <c:pt idx="490">
                  <c:v>10000</c:v>
                </c:pt>
                <c:pt idx="491">
                  <c:v>25000</c:v>
                </c:pt>
                <c:pt idx="492">
                  <c:v>1000</c:v>
                </c:pt>
                <c:pt idx="493">
                  <c:v>8000</c:v>
                </c:pt>
                <c:pt idx="494">
                  <c:v>3000</c:v>
                </c:pt>
                <c:pt idx="495">
                  <c:v>18000</c:v>
                </c:pt>
                <c:pt idx="496">
                  <c:v>100</c:v>
                </c:pt>
                <c:pt idx="497">
                  <c:v>800</c:v>
                </c:pt>
                <c:pt idx="498">
                  <c:v>20000</c:v>
                </c:pt>
                <c:pt idx="499">
                  <c:v>12000</c:v>
                </c:pt>
                <c:pt idx="500">
                  <c:v>6000</c:v>
                </c:pt>
                <c:pt idx="501">
                  <c:v>4000</c:v>
                </c:pt>
                <c:pt idx="502">
                  <c:v>15000</c:v>
                </c:pt>
                <c:pt idx="503">
                  <c:v>2000</c:v>
                </c:pt>
                <c:pt idx="504">
                  <c:v>500</c:v>
                </c:pt>
                <c:pt idx="505">
                  <c:v>10000</c:v>
                </c:pt>
                <c:pt idx="506">
                  <c:v>25000</c:v>
                </c:pt>
                <c:pt idx="507">
                  <c:v>1000</c:v>
                </c:pt>
                <c:pt idx="508">
                  <c:v>8000</c:v>
                </c:pt>
                <c:pt idx="509">
                  <c:v>3000</c:v>
                </c:pt>
                <c:pt idx="510">
                  <c:v>18000</c:v>
                </c:pt>
                <c:pt idx="511">
                  <c:v>100</c:v>
                </c:pt>
                <c:pt idx="512">
                  <c:v>800</c:v>
                </c:pt>
                <c:pt idx="513">
                  <c:v>20000</c:v>
                </c:pt>
                <c:pt idx="514">
                  <c:v>12000</c:v>
                </c:pt>
                <c:pt idx="515">
                  <c:v>6000</c:v>
                </c:pt>
                <c:pt idx="516">
                  <c:v>4000</c:v>
                </c:pt>
                <c:pt idx="517">
                  <c:v>15000</c:v>
                </c:pt>
                <c:pt idx="518">
                  <c:v>2000</c:v>
                </c:pt>
                <c:pt idx="519">
                  <c:v>500</c:v>
                </c:pt>
                <c:pt idx="520">
                  <c:v>10000</c:v>
                </c:pt>
                <c:pt idx="521">
                  <c:v>25000</c:v>
                </c:pt>
                <c:pt idx="522">
                  <c:v>1000</c:v>
                </c:pt>
                <c:pt idx="523">
                  <c:v>8000</c:v>
                </c:pt>
                <c:pt idx="524">
                  <c:v>3000</c:v>
                </c:pt>
                <c:pt idx="525">
                  <c:v>18000</c:v>
                </c:pt>
                <c:pt idx="526">
                  <c:v>100</c:v>
                </c:pt>
                <c:pt idx="527">
                  <c:v>800</c:v>
                </c:pt>
                <c:pt idx="528">
                  <c:v>20000</c:v>
                </c:pt>
                <c:pt idx="529">
                  <c:v>12000</c:v>
                </c:pt>
                <c:pt idx="530">
                  <c:v>4000</c:v>
                </c:pt>
                <c:pt idx="531">
                  <c:v>15000</c:v>
                </c:pt>
                <c:pt idx="532">
                  <c:v>2000</c:v>
                </c:pt>
                <c:pt idx="533">
                  <c:v>500</c:v>
                </c:pt>
                <c:pt idx="534">
                  <c:v>10000</c:v>
                </c:pt>
                <c:pt idx="535">
                  <c:v>25000</c:v>
                </c:pt>
                <c:pt idx="536">
                  <c:v>1000</c:v>
                </c:pt>
                <c:pt idx="537">
                  <c:v>8000</c:v>
                </c:pt>
                <c:pt idx="538">
                  <c:v>3000</c:v>
                </c:pt>
                <c:pt idx="539">
                  <c:v>18000</c:v>
                </c:pt>
                <c:pt idx="540">
                  <c:v>100</c:v>
                </c:pt>
                <c:pt idx="541">
                  <c:v>800</c:v>
                </c:pt>
                <c:pt idx="542">
                  <c:v>20000</c:v>
                </c:pt>
                <c:pt idx="543">
                  <c:v>12000</c:v>
                </c:pt>
                <c:pt idx="544">
                  <c:v>6000</c:v>
                </c:pt>
                <c:pt idx="545">
                  <c:v>4000</c:v>
                </c:pt>
                <c:pt idx="546">
                  <c:v>15000</c:v>
                </c:pt>
                <c:pt idx="547">
                  <c:v>2000</c:v>
                </c:pt>
                <c:pt idx="548">
                  <c:v>500</c:v>
                </c:pt>
                <c:pt idx="549">
                  <c:v>10000</c:v>
                </c:pt>
                <c:pt idx="550">
                  <c:v>25000</c:v>
                </c:pt>
                <c:pt idx="551">
                  <c:v>1000</c:v>
                </c:pt>
                <c:pt idx="552">
                  <c:v>8000</c:v>
                </c:pt>
                <c:pt idx="553">
                  <c:v>3000</c:v>
                </c:pt>
                <c:pt idx="554">
                  <c:v>18000</c:v>
                </c:pt>
                <c:pt idx="555">
                  <c:v>100</c:v>
                </c:pt>
                <c:pt idx="556">
                  <c:v>800</c:v>
                </c:pt>
                <c:pt idx="557">
                  <c:v>20000</c:v>
                </c:pt>
                <c:pt idx="558">
                  <c:v>12000</c:v>
                </c:pt>
                <c:pt idx="559">
                  <c:v>6000</c:v>
                </c:pt>
                <c:pt idx="560">
                  <c:v>4000</c:v>
                </c:pt>
                <c:pt idx="561">
                  <c:v>15000</c:v>
                </c:pt>
                <c:pt idx="562">
                  <c:v>2000</c:v>
                </c:pt>
                <c:pt idx="563">
                  <c:v>500</c:v>
                </c:pt>
                <c:pt idx="564">
                  <c:v>10000</c:v>
                </c:pt>
                <c:pt idx="565">
                  <c:v>25000</c:v>
                </c:pt>
                <c:pt idx="566">
                  <c:v>1000</c:v>
                </c:pt>
                <c:pt idx="567">
                  <c:v>8000</c:v>
                </c:pt>
                <c:pt idx="568">
                  <c:v>3000</c:v>
                </c:pt>
                <c:pt idx="569">
                  <c:v>18000</c:v>
                </c:pt>
                <c:pt idx="570">
                  <c:v>100</c:v>
                </c:pt>
                <c:pt idx="571">
                  <c:v>800</c:v>
                </c:pt>
                <c:pt idx="572">
                  <c:v>20000</c:v>
                </c:pt>
                <c:pt idx="573">
                  <c:v>12000</c:v>
                </c:pt>
                <c:pt idx="574">
                  <c:v>6000</c:v>
                </c:pt>
                <c:pt idx="575">
                  <c:v>4000</c:v>
                </c:pt>
                <c:pt idx="576">
                  <c:v>15000</c:v>
                </c:pt>
                <c:pt idx="577">
                  <c:v>2000</c:v>
                </c:pt>
                <c:pt idx="578">
                  <c:v>500</c:v>
                </c:pt>
                <c:pt idx="579">
                  <c:v>10000</c:v>
                </c:pt>
                <c:pt idx="580">
                  <c:v>25000</c:v>
                </c:pt>
                <c:pt idx="581">
                  <c:v>1000</c:v>
                </c:pt>
                <c:pt idx="582">
                  <c:v>8000</c:v>
                </c:pt>
                <c:pt idx="583">
                  <c:v>3000</c:v>
                </c:pt>
                <c:pt idx="584">
                  <c:v>18000</c:v>
                </c:pt>
                <c:pt idx="585">
                  <c:v>100</c:v>
                </c:pt>
                <c:pt idx="586">
                  <c:v>800</c:v>
                </c:pt>
                <c:pt idx="587">
                  <c:v>20000</c:v>
                </c:pt>
                <c:pt idx="588">
                  <c:v>12000</c:v>
                </c:pt>
                <c:pt idx="589">
                  <c:v>6000</c:v>
                </c:pt>
                <c:pt idx="590">
                  <c:v>15000</c:v>
                </c:pt>
                <c:pt idx="591">
                  <c:v>2000</c:v>
                </c:pt>
                <c:pt idx="592">
                  <c:v>500</c:v>
                </c:pt>
                <c:pt idx="593">
                  <c:v>10000</c:v>
                </c:pt>
                <c:pt idx="594">
                  <c:v>25000</c:v>
                </c:pt>
                <c:pt idx="595">
                  <c:v>1000</c:v>
                </c:pt>
                <c:pt idx="596">
                  <c:v>8000</c:v>
                </c:pt>
                <c:pt idx="597">
                  <c:v>3000</c:v>
                </c:pt>
                <c:pt idx="598">
                  <c:v>18000</c:v>
                </c:pt>
                <c:pt idx="599">
                  <c:v>100</c:v>
                </c:pt>
                <c:pt idx="600">
                  <c:v>800</c:v>
                </c:pt>
                <c:pt idx="601">
                  <c:v>20000</c:v>
                </c:pt>
                <c:pt idx="602">
                  <c:v>12000</c:v>
                </c:pt>
                <c:pt idx="603">
                  <c:v>6000</c:v>
                </c:pt>
                <c:pt idx="604">
                  <c:v>4000</c:v>
                </c:pt>
                <c:pt idx="605">
                  <c:v>15000</c:v>
                </c:pt>
                <c:pt idx="606">
                  <c:v>2000</c:v>
                </c:pt>
                <c:pt idx="607">
                  <c:v>500</c:v>
                </c:pt>
                <c:pt idx="608">
                  <c:v>10000</c:v>
                </c:pt>
                <c:pt idx="609">
                  <c:v>25000</c:v>
                </c:pt>
                <c:pt idx="610">
                  <c:v>1000</c:v>
                </c:pt>
                <c:pt idx="611">
                  <c:v>8000</c:v>
                </c:pt>
                <c:pt idx="612">
                  <c:v>3000</c:v>
                </c:pt>
                <c:pt idx="613">
                  <c:v>18000</c:v>
                </c:pt>
                <c:pt idx="614">
                  <c:v>100</c:v>
                </c:pt>
                <c:pt idx="615">
                  <c:v>800</c:v>
                </c:pt>
                <c:pt idx="616">
                  <c:v>20000</c:v>
                </c:pt>
                <c:pt idx="617">
                  <c:v>12000</c:v>
                </c:pt>
                <c:pt idx="618">
                  <c:v>6000</c:v>
                </c:pt>
                <c:pt idx="619">
                  <c:v>4000</c:v>
                </c:pt>
                <c:pt idx="620">
                  <c:v>15000</c:v>
                </c:pt>
                <c:pt idx="621">
                  <c:v>2000</c:v>
                </c:pt>
                <c:pt idx="622">
                  <c:v>500</c:v>
                </c:pt>
                <c:pt idx="623">
                  <c:v>10000</c:v>
                </c:pt>
                <c:pt idx="624">
                  <c:v>25000</c:v>
                </c:pt>
                <c:pt idx="625">
                  <c:v>1000</c:v>
                </c:pt>
                <c:pt idx="626">
                  <c:v>8000</c:v>
                </c:pt>
                <c:pt idx="627">
                  <c:v>3000</c:v>
                </c:pt>
                <c:pt idx="628">
                  <c:v>18000</c:v>
                </c:pt>
                <c:pt idx="629">
                  <c:v>100</c:v>
                </c:pt>
                <c:pt idx="630">
                  <c:v>800</c:v>
                </c:pt>
                <c:pt idx="631">
                  <c:v>20000</c:v>
                </c:pt>
                <c:pt idx="632">
                  <c:v>12000</c:v>
                </c:pt>
                <c:pt idx="633">
                  <c:v>6000</c:v>
                </c:pt>
                <c:pt idx="634">
                  <c:v>4000</c:v>
                </c:pt>
                <c:pt idx="635">
                  <c:v>15000</c:v>
                </c:pt>
                <c:pt idx="636">
                  <c:v>2000</c:v>
                </c:pt>
                <c:pt idx="637">
                  <c:v>500</c:v>
                </c:pt>
                <c:pt idx="638">
                  <c:v>10000</c:v>
                </c:pt>
                <c:pt idx="639">
                  <c:v>25000</c:v>
                </c:pt>
                <c:pt idx="640">
                  <c:v>1000</c:v>
                </c:pt>
                <c:pt idx="641">
                  <c:v>8000</c:v>
                </c:pt>
                <c:pt idx="642">
                  <c:v>3000</c:v>
                </c:pt>
                <c:pt idx="643">
                  <c:v>18000</c:v>
                </c:pt>
                <c:pt idx="644">
                  <c:v>100</c:v>
                </c:pt>
                <c:pt idx="645">
                  <c:v>800</c:v>
                </c:pt>
                <c:pt idx="646">
                  <c:v>20000</c:v>
                </c:pt>
                <c:pt idx="647">
                  <c:v>12000</c:v>
                </c:pt>
                <c:pt idx="648">
                  <c:v>6000</c:v>
                </c:pt>
                <c:pt idx="649">
                  <c:v>4000</c:v>
                </c:pt>
                <c:pt idx="650">
                  <c:v>2000</c:v>
                </c:pt>
                <c:pt idx="651">
                  <c:v>500</c:v>
                </c:pt>
                <c:pt idx="652">
                  <c:v>10000</c:v>
                </c:pt>
                <c:pt idx="653">
                  <c:v>25000</c:v>
                </c:pt>
                <c:pt idx="654">
                  <c:v>1000</c:v>
                </c:pt>
                <c:pt idx="655">
                  <c:v>8000</c:v>
                </c:pt>
                <c:pt idx="656">
                  <c:v>3000</c:v>
                </c:pt>
                <c:pt idx="657">
                  <c:v>18000</c:v>
                </c:pt>
                <c:pt idx="658">
                  <c:v>100</c:v>
                </c:pt>
                <c:pt idx="659">
                  <c:v>800</c:v>
                </c:pt>
                <c:pt idx="660">
                  <c:v>20000</c:v>
                </c:pt>
                <c:pt idx="661">
                  <c:v>12000</c:v>
                </c:pt>
                <c:pt idx="662">
                  <c:v>6000</c:v>
                </c:pt>
                <c:pt idx="663">
                  <c:v>4000</c:v>
                </c:pt>
                <c:pt idx="664">
                  <c:v>15000</c:v>
                </c:pt>
                <c:pt idx="665">
                  <c:v>2000</c:v>
                </c:pt>
                <c:pt idx="666">
                  <c:v>500</c:v>
                </c:pt>
                <c:pt idx="667">
                  <c:v>10000</c:v>
                </c:pt>
                <c:pt idx="668">
                  <c:v>25000</c:v>
                </c:pt>
                <c:pt idx="669">
                  <c:v>1000</c:v>
                </c:pt>
                <c:pt idx="670">
                  <c:v>8000</c:v>
                </c:pt>
                <c:pt idx="671">
                  <c:v>3000</c:v>
                </c:pt>
                <c:pt idx="672">
                  <c:v>18000</c:v>
                </c:pt>
                <c:pt idx="673">
                  <c:v>100</c:v>
                </c:pt>
                <c:pt idx="674">
                  <c:v>800</c:v>
                </c:pt>
                <c:pt idx="675">
                  <c:v>20000</c:v>
                </c:pt>
                <c:pt idx="676">
                  <c:v>12000</c:v>
                </c:pt>
                <c:pt idx="677">
                  <c:v>6000</c:v>
                </c:pt>
                <c:pt idx="678">
                  <c:v>4000</c:v>
                </c:pt>
                <c:pt idx="679">
                  <c:v>15000</c:v>
                </c:pt>
                <c:pt idx="680">
                  <c:v>2000</c:v>
                </c:pt>
                <c:pt idx="681">
                  <c:v>500</c:v>
                </c:pt>
                <c:pt idx="682">
                  <c:v>10000</c:v>
                </c:pt>
                <c:pt idx="683">
                  <c:v>25000</c:v>
                </c:pt>
                <c:pt idx="684">
                  <c:v>1000</c:v>
                </c:pt>
                <c:pt idx="685">
                  <c:v>8000</c:v>
                </c:pt>
                <c:pt idx="686">
                  <c:v>3000</c:v>
                </c:pt>
                <c:pt idx="687">
                  <c:v>18000</c:v>
                </c:pt>
                <c:pt idx="688">
                  <c:v>100</c:v>
                </c:pt>
                <c:pt idx="689">
                  <c:v>800</c:v>
                </c:pt>
                <c:pt idx="690">
                  <c:v>20000</c:v>
                </c:pt>
                <c:pt idx="691">
                  <c:v>12000</c:v>
                </c:pt>
                <c:pt idx="692">
                  <c:v>6000</c:v>
                </c:pt>
                <c:pt idx="693">
                  <c:v>4000</c:v>
                </c:pt>
                <c:pt idx="694">
                  <c:v>15000</c:v>
                </c:pt>
                <c:pt idx="695">
                  <c:v>2000</c:v>
                </c:pt>
                <c:pt idx="696">
                  <c:v>500</c:v>
                </c:pt>
                <c:pt idx="697">
                  <c:v>10000</c:v>
                </c:pt>
                <c:pt idx="698">
                  <c:v>25000</c:v>
                </c:pt>
                <c:pt idx="699">
                  <c:v>1000</c:v>
                </c:pt>
                <c:pt idx="700">
                  <c:v>8000</c:v>
                </c:pt>
                <c:pt idx="701">
                  <c:v>3000</c:v>
                </c:pt>
                <c:pt idx="702">
                  <c:v>18000</c:v>
                </c:pt>
                <c:pt idx="703">
                  <c:v>100</c:v>
                </c:pt>
                <c:pt idx="704">
                  <c:v>800</c:v>
                </c:pt>
                <c:pt idx="705">
                  <c:v>20000</c:v>
                </c:pt>
                <c:pt idx="706">
                  <c:v>12000</c:v>
                </c:pt>
                <c:pt idx="707">
                  <c:v>6000</c:v>
                </c:pt>
                <c:pt idx="708">
                  <c:v>4000</c:v>
                </c:pt>
                <c:pt idx="709">
                  <c:v>15000</c:v>
                </c:pt>
                <c:pt idx="710">
                  <c:v>500</c:v>
                </c:pt>
                <c:pt idx="711">
                  <c:v>10000</c:v>
                </c:pt>
                <c:pt idx="712">
                  <c:v>25000</c:v>
                </c:pt>
                <c:pt idx="713">
                  <c:v>1000</c:v>
                </c:pt>
                <c:pt idx="714">
                  <c:v>8000</c:v>
                </c:pt>
                <c:pt idx="715">
                  <c:v>3000</c:v>
                </c:pt>
                <c:pt idx="716">
                  <c:v>18000</c:v>
                </c:pt>
                <c:pt idx="717">
                  <c:v>100</c:v>
                </c:pt>
                <c:pt idx="718">
                  <c:v>800</c:v>
                </c:pt>
                <c:pt idx="719">
                  <c:v>20000</c:v>
                </c:pt>
                <c:pt idx="720">
                  <c:v>12000</c:v>
                </c:pt>
                <c:pt idx="721">
                  <c:v>6000</c:v>
                </c:pt>
                <c:pt idx="722">
                  <c:v>4000</c:v>
                </c:pt>
                <c:pt idx="723">
                  <c:v>15000</c:v>
                </c:pt>
                <c:pt idx="724">
                  <c:v>2000</c:v>
                </c:pt>
                <c:pt idx="725">
                  <c:v>500</c:v>
                </c:pt>
                <c:pt idx="726">
                  <c:v>10000</c:v>
                </c:pt>
                <c:pt idx="727">
                  <c:v>25000</c:v>
                </c:pt>
                <c:pt idx="728">
                  <c:v>1000</c:v>
                </c:pt>
                <c:pt idx="729">
                  <c:v>8000</c:v>
                </c:pt>
                <c:pt idx="730">
                  <c:v>3000</c:v>
                </c:pt>
                <c:pt idx="731">
                  <c:v>18000</c:v>
                </c:pt>
                <c:pt idx="732">
                  <c:v>100</c:v>
                </c:pt>
                <c:pt idx="733">
                  <c:v>800</c:v>
                </c:pt>
                <c:pt idx="734">
                  <c:v>20000</c:v>
                </c:pt>
                <c:pt idx="735">
                  <c:v>12000</c:v>
                </c:pt>
                <c:pt idx="736">
                  <c:v>6000</c:v>
                </c:pt>
                <c:pt idx="737">
                  <c:v>4000</c:v>
                </c:pt>
                <c:pt idx="738">
                  <c:v>15000</c:v>
                </c:pt>
                <c:pt idx="739">
                  <c:v>2000</c:v>
                </c:pt>
                <c:pt idx="740">
                  <c:v>500</c:v>
                </c:pt>
                <c:pt idx="741">
                  <c:v>10000</c:v>
                </c:pt>
                <c:pt idx="742">
                  <c:v>25000</c:v>
                </c:pt>
                <c:pt idx="743">
                  <c:v>1000</c:v>
                </c:pt>
                <c:pt idx="744">
                  <c:v>8000</c:v>
                </c:pt>
                <c:pt idx="745">
                  <c:v>3000</c:v>
                </c:pt>
                <c:pt idx="746">
                  <c:v>18000</c:v>
                </c:pt>
                <c:pt idx="747">
                  <c:v>100</c:v>
                </c:pt>
                <c:pt idx="748">
                  <c:v>800</c:v>
                </c:pt>
                <c:pt idx="749">
                  <c:v>20000</c:v>
                </c:pt>
                <c:pt idx="750">
                  <c:v>12000</c:v>
                </c:pt>
                <c:pt idx="751">
                  <c:v>6000</c:v>
                </c:pt>
                <c:pt idx="752">
                  <c:v>4000</c:v>
                </c:pt>
                <c:pt idx="753">
                  <c:v>15000</c:v>
                </c:pt>
                <c:pt idx="754">
                  <c:v>2000</c:v>
                </c:pt>
                <c:pt idx="755">
                  <c:v>500</c:v>
                </c:pt>
                <c:pt idx="756">
                  <c:v>10000</c:v>
                </c:pt>
                <c:pt idx="757">
                  <c:v>25000</c:v>
                </c:pt>
                <c:pt idx="758">
                  <c:v>1000</c:v>
                </c:pt>
                <c:pt idx="759">
                  <c:v>8000</c:v>
                </c:pt>
                <c:pt idx="760">
                  <c:v>3000</c:v>
                </c:pt>
                <c:pt idx="761">
                  <c:v>18000</c:v>
                </c:pt>
                <c:pt idx="762">
                  <c:v>100</c:v>
                </c:pt>
                <c:pt idx="763">
                  <c:v>800</c:v>
                </c:pt>
                <c:pt idx="764">
                  <c:v>20000</c:v>
                </c:pt>
                <c:pt idx="765">
                  <c:v>12000</c:v>
                </c:pt>
                <c:pt idx="766">
                  <c:v>6000</c:v>
                </c:pt>
                <c:pt idx="767">
                  <c:v>4000</c:v>
                </c:pt>
                <c:pt idx="768">
                  <c:v>15000</c:v>
                </c:pt>
                <c:pt idx="769">
                  <c:v>2000</c:v>
                </c:pt>
                <c:pt idx="770">
                  <c:v>500</c:v>
                </c:pt>
                <c:pt idx="771">
                  <c:v>25000</c:v>
                </c:pt>
                <c:pt idx="772">
                  <c:v>1000</c:v>
                </c:pt>
                <c:pt idx="773">
                  <c:v>8000</c:v>
                </c:pt>
                <c:pt idx="774">
                  <c:v>3000</c:v>
                </c:pt>
                <c:pt idx="775">
                  <c:v>18000</c:v>
                </c:pt>
                <c:pt idx="776">
                  <c:v>100</c:v>
                </c:pt>
                <c:pt idx="777">
                  <c:v>800</c:v>
                </c:pt>
                <c:pt idx="778">
                  <c:v>20000</c:v>
                </c:pt>
                <c:pt idx="779">
                  <c:v>12000</c:v>
                </c:pt>
                <c:pt idx="780">
                  <c:v>6000</c:v>
                </c:pt>
                <c:pt idx="781">
                  <c:v>4000</c:v>
                </c:pt>
                <c:pt idx="782">
                  <c:v>15000</c:v>
                </c:pt>
                <c:pt idx="783">
                  <c:v>2000</c:v>
                </c:pt>
                <c:pt idx="784">
                  <c:v>500</c:v>
                </c:pt>
                <c:pt idx="785">
                  <c:v>10000</c:v>
                </c:pt>
                <c:pt idx="786">
                  <c:v>25000</c:v>
                </c:pt>
                <c:pt idx="787">
                  <c:v>1000</c:v>
                </c:pt>
                <c:pt idx="788">
                  <c:v>8000</c:v>
                </c:pt>
                <c:pt idx="789">
                  <c:v>3000</c:v>
                </c:pt>
                <c:pt idx="790">
                  <c:v>18000</c:v>
                </c:pt>
                <c:pt idx="791">
                  <c:v>100</c:v>
                </c:pt>
                <c:pt idx="792">
                  <c:v>800</c:v>
                </c:pt>
                <c:pt idx="793">
                  <c:v>20000</c:v>
                </c:pt>
                <c:pt idx="794">
                  <c:v>12000</c:v>
                </c:pt>
                <c:pt idx="795">
                  <c:v>6000</c:v>
                </c:pt>
                <c:pt idx="796">
                  <c:v>4000</c:v>
                </c:pt>
                <c:pt idx="797">
                  <c:v>15000</c:v>
                </c:pt>
                <c:pt idx="798">
                  <c:v>2000</c:v>
                </c:pt>
                <c:pt idx="799">
                  <c:v>500</c:v>
                </c:pt>
                <c:pt idx="800">
                  <c:v>10000</c:v>
                </c:pt>
                <c:pt idx="801">
                  <c:v>25000</c:v>
                </c:pt>
                <c:pt idx="802">
                  <c:v>1000</c:v>
                </c:pt>
                <c:pt idx="803">
                  <c:v>8000</c:v>
                </c:pt>
                <c:pt idx="804">
                  <c:v>3000</c:v>
                </c:pt>
                <c:pt idx="805">
                  <c:v>18000</c:v>
                </c:pt>
                <c:pt idx="806">
                  <c:v>100</c:v>
                </c:pt>
                <c:pt idx="807">
                  <c:v>800</c:v>
                </c:pt>
                <c:pt idx="808">
                  <c:v>20000</c:v>
                </c:pt>
                <c:pt idx="809">
                  <c:v>12000</c:v>
                </c:pt>
                <c:pt idx="810">
                  <c:v>6000</c:v>
                </c:pt>
                <c:pt idx="811">
                  <c:v>4000</c:v>
                </c:pt>
                <c:pt idx="812">
                  <c:v>15000</c:v>
                </c:pt>
                <c:pt idx="813">
                  <c:v>2000</c:v>
                </c:pt>
                <c:pt idx="814">
                  <c:v>500</c:v>
                </c:pt>
                <c:pt idx="815">
                  <c:v>10000</c:v>
                </c:pt>
                <c:pt idx="816">
                  <c:v>25000</c:v>
                </c:pt>
                <c:pt idx="817">
                  <c:v>1000</c:v>
                </c:pt>
                <c:pt idx="818">
                  <c:v>8000</c:v>
                </c:pt>
                <c:pt idx="819">
                  <c:v>3000</c:v>
                </c:pt>
                <c:pt idx="820">
                  <c:v>18000</c:v>
                </c:pt>
                <c:pt idx="821">
                  <c:v>100</c:v>
                </c:pt>
                <c:pt idx="822">
                  <c:v>800</c:v>
                </c:pt>
                <c:pt idx="823">
                  <c:v>20000</c:v>
                </c:pt>
                <c:pt idx="824">
                  <c:v>12000</c:v>
                </c:pt>
                <c:pt idx="825">
                  <c:v>6000</c:v>
                </c:pt>
                <c:pt idx="826">
                  <c:v>4000</c:v>
                </c:pt>
                <c:pt idx="827">
                  <c:v>15000</c:v>
                </c:pt>
                <c:pt idx="828">
                  <c:v>2000</c:v>
                </c:pt>
                <c:pt idx="829">
                  <c:v>500</c:v>
                </c:pt>
                <c:pt idx="830">
                  <c:v>10000</c:v>
                </c:pt>
                <c:pt idx="831">
                  <c:v>1000</c:v>
                </c:pt>
                <c:pt idx="832">
                  <c:v>8000</c:v>
                </c:pt>
                <c:pt idx="833">
                  <c:v>3000</c:v>
                </c:pt>
                <c:pt idx="834">
                  <c:v>18000</c:v>
                </c:pt>
                <c:pt idx="835">
                  <c:v>100</c:v>
                </c:pt>
                <c:pt idx="836">
                  <c:v>800</c:v>
                </c:pt>
                <c:pt idx="837">
                  <c:v>20000</c:v>
                </c:pt>
                <c:pt idx="838">
                  <c:v>12000</c:v>
                </c:pt>
                <c:pt idx="839">
                  <c:v>6000</c:v>
                </c:pt>
                <c:pt idx="840">
                  <c:v>4000</c:v>
                </c:pt>
                <c:pt idx="841">
                  <c:v>15000</c:v>
                </c:pt>
                <c:pt idx="842">
                  <c:v>2000</c:v>
                </c:pt>
                <c:pt idx="843">
                  <c:v>500</c:v>
                </c:pt>
                <c:pt idx="844">
                  <c:v>10000</c:v>
                </c:pt>
                <c:pt idx="845">
                  <c:v>25000</c:v>
                </c:pt>
                <c:pt idx="846">
                  <c:v>1000</c:v>
                </c:pt>
                <c:pt idx="847">
                  <c:v>8000</c:v>
                </c:pt>
                <c:pt idx="848">
                  <c:v>3000</c:v>
                </c:pt>
                <c:pt idx="849">
                  <c:v>18000</c:v>
                </c:pt>
                <c:pt idx="850">
                  <c:v>100</c:v>
                </c:pt>
                <c:pt idx="851">
                  <c:v>800</c:v>
                </c:pt>
                <c:pt idx="852">
                  <c:v>20000</c:v>
                </c:pt>
                <c:pt idx="853">
                  <c:v>12000</c:v>
                </c:pt>
                <c:pt idx="854">
                  <c:v>6000</c:v>
                </c:pt>
                <c:pt idx="855">
                  <c:v>4000</c:v>
                </c:pt>
                <c:pt idx="856">
                  <c:v>15000</c:v>
                </c:pt>
                <c:pt idx="857">
                  <c:v>2000</c:v>
                </c:pt>
                <c:pt idx="858">
                  <c:v>500</c:v>
                </c:pt>
                <c:pt idx="859">
                  <c:v>10000</c:v>
                </c:pt>
                <c:pt idx="860">
                  <c:v>25000</c:v>
                </c:pt>
                <c:pt idx="861">
                  <c:v>1000</c:v>
                </c:pt>
                <c:pt idx="862">
                  <c:v>8000</c:v>
                </c:pt>
                <c:pt idx="863">
                  <c:v>3000</c:v>
                </c:pt>
                <c:pt idx="864">
                  <c:v>18000</c:v>
                </c:pt>
                <c:pt idx="865">
                  <c:v>100</c:v>
                </c:pt>
                <c:pt idx="866">
                  <c:v>800</c:v>
                </c:pt>
                <c:pt idx="867">
                  <c:v>20000</c:v>
                </c:pt>
                <c:pt idx="868">
                  <c:v>12000</c:v>
                </c:pt>
                <c:pt idx="869">
                  <c:v>6000</c:v>
                </c:pt>
                <c:pt idx="870">
                  <c:v>4000</c:v>
                </c:pt>
                <c:pt idx="871">
                  <c:v>15000</c:v>
                </c:pt>
                <c:pt idx="872">
                  <c:v>2000</c:v>
                </c:pt>
                <c:pt idx="873">
                  <c:v>500</c:v>
                </c:pt>
                <c:pt idx="874">
                  <c:v>10000</c:v>
                </c:pt>
                <c:pt idx="875">
                  <c:v>25000</c:v>
                </c:pt>
                <c:pt idx="876">
                  <c:v>1000</c:v>
                </c:pt>
                <c:pt idx="877">
                  <c:v>8000</c:v>
                </c:pt>
                <c:pt idx="878">
                  <c:v>3000</c:v>
                </c:pt>
                <c:pt idx="879">
                  <c:v>18000</c:v>
                </c:pt>
                <c:pt idx="880">
                  <c:v>100</c:v>
                </c:pt>
                <c:pt idx="881">
                  <c:v>800</c:v>
                </c:pt>
                <c:pt idx="882">
                  <c:v>20000</c:v>
                </c:pt>
                <c:pt idx="883">
                  <c:v>12000</c:v>
                </c:pt>
                <c:pt idx="884">
                  <c:v>6000</c:v>
                </c:pt>
                <c:pt idx="885">
                  <c:v>4000</c:v>
                </c:pt>
                <c:pt idx="886">
                  <c:v>15000</c:v>
                </c:pt>
                <c:pt idx="887">
                  <c:v>2000</c:v>
                </c:pt>
                <c:pt idx="888">
                  <c:v>500</c:v>
                </c:pt>
                <c:pt idx="889">
                  <c:v>10000</c:v>
                </c:pt>
                <c:pt idx="890">
                  <c:v>25000</c:v>
                </c:pt>
                <c:pt idx="891">
                  <c:v>8000</c:v>
                </c:pt>
                <c:pt idx="892">
                  <c:v>3000</c:v>
                </c:pt>
                <c:pt idx="893">
                  <c:v>18000</c:v>
                </c:pt>
                <c:pt idx="894">
                  <c:v>100</c:v>
                </c:pt>
                <c:pt idx="895">
                  <c:v>800</c:v>
                </c:pt>
                <c:pt idx="896">
                  <c:v>20000</c:v>
                </c:pt>
                <c:pt idx="897">
                  <c:v>12000</c:v>
                </c:pt>
                <c:pt idx="898">
                  <c:v>6000</c:v>
                </c:pt>
                <c:pt idx="899">
                  <c:v>4000</c:v>
                </c:pt>
                <c:pt idx="900">
                  <c:v>15000</c:v>
                </c:pt>
                <c:pt idx="901">
                  <c:v>2000</c:v>
                </c:pt>
                <c:pt idx="902">
                  <c:v>500</c:v>
                </c:pt>
                <c:pt idx="903">
                  <c:v>10000</c:v>
                </c:pt>
                <c:pt idx="904">
                  <c:v>25000</c:v>
                </c:pt>
                <c:pt idx="905">
                  <c:v>1000</c:v>
                </c:pt>
                <c:pt idx="906">
                  <c:v>8000</c:v>
                </c:pt>
                <c:pt idx="907">
                  <c:v>3000</c:v>
                </c:pt>
                <c:pt idx="908">
                  <c:v>18000</c:v>
                </c:pt>
                <c:pt idx="909">
                  <c:v>100</c:v>
                </c:pt>
                <c:pt idx="910">
                  <c:v>800</c:v>
                </c:pt>
                <c:pt idx="911">
                  <c:v>20000</c:v>
                </c:pt>
                <c:pt idx="912">
                  <c:v>12000</c:v>
                </c:pt>
                <c:pt idx="913">
                  <c:v>6000</c:v>
                </c:pt>
                <c:pt idx="914">
                  <c:v>4000</c:v>
                </c:pt>
                <c:pt idx="915">
                  <c:v>15000</c:v>
                </c:pt>
                <c:pt idx="916">
                  <c:v>2000</c:v>
                </c:pt>
                <c:pt idx="917">
                  <c:v>500</c:v>
                </c:pt>
                <c:pt idx="918">
                  <c:v>10000</c:v>
                </c:pt>
                <c:pt idx="919">
                  <c:v>25000</c:v>
                </c:pt>
                <c:pt idx="920">
                  <c:v>1000</c:v>
                </c:pt>
                <c:pt idx="921">
                  <c:v>8000</c:v>
                </c:pt>
                <c:pt idx="922">
                  <c:v>3000</c:v>
                </c:pt>
                <c:pt idx="923">
                  <c:v>18000</c:v>
                </c:pt>
                <c:pt idx="924">
                  <c:v>100</c:v>
                </c:pt>
                <c:pt idx="925">
                  <c:v>800</c:v>
                </c:pt>
                <c:pt idx="926">
                  <c:v>20000</c:v>
                </c:pt>
                <c:pt idx="927">
                  <c:v>12000</c:v>
                </c:pt>
                <c:pt idx="928">
                  <c:v>6000</c:v>
                </c:pt>
                <c:pt idx="929">
                  <c:v>4000</c:v>
                </c:pt>
                <c:pt idx="930">
                  <c:v>15000</c:v>
                </c:pt>
                <c:pt idx="931">
                  <c:v>2000</c:v>
                </c:pt>
                <c:pt idx="932">
                  <c:v>500</c:v>
                </c:pt>
                <c:pt idx="933">
                  <c:v>10000</c:v>
                </c:pt>
                <c:pt idx="934">
                  <c:v>25000</c:v>
                </c:pt>
                <c:pt idx="935">
                  <c:v>1000</c:v>
                </c:pt>
                <c:pt idx="936">
                  <c:v>8000</c:v>
                </c:pt>
                <c:pt idx="937">
                  <c:v>3000</c:v>
                </c:pt>
                <c:pt idx="938">
                  <c:v>18000</c:v>
                </c:pt>
                <c:pt idx="939">
                  <c:v>100</c:v>
                </c:pt>
                <c:pt idx="940">
                  <c:v>800</c:v>
                </c:pt>
                <c:pt idx="941">
                  <c:v>20000</c:v>
                </c:pt>
                <c:pt idx="942">
                  <c:v>12000</c:v>
                </c:pt>
                <c:pt idx="943">
                  <c:v>6000</c:v>
                </c:pt>
                <c:pt idx="944">
                  <c:v>4000</c:v>
                </c:pt>
                <c:pt idx="945">
                  <c:v>15000</c:v>
                </c:pt>
                <c:pt idx="946">
                  <c:v>2000</c:v>
                </c:pt>
                <c:pt idx="947">
                  <c:v>500</c:v>
                </c:pt>
                <c:pt idx="948">
                  <c:v>10000</c:v>
                </c:pt>
                <c:pt idx="949">
                  <c:v>25000</c:v>
                </c:pt>
                <c:pt idx="950">
                  <c:v>1000</c:v>
                </c:pt>
                <c:pt idx="951">
                  <c:v>3000</c:v>
                </c:pt>
                <c:pt idx="952">
                  <c:v>18000</c:v>
                </c:pt>
                <c:pt idx="953">
                  <c:v>100</c:v>
                </c:pt>
                <c:pt idx="954">
                  <c:v>800</c:v>
                </c:pt>
                <c:pt idx="955">
                  <c:v>20000</c:v>
                </c:pt>
                <c:pt idx="956">
                  <c:v>12000</c:v>
                </c:pt>
                <c:pt idx="957">
                  <c:v>6000</c:v>
                </c:pt>
                <c:pt idx="958">
                  <c:v>4000</c:v>
                </c:pt>
                <c:pt idx="959">
                  <c:v>15000</c:v>
                </c:pt>
                <c:pt idx="960">
                  <c:v>2000</c:v>
                </c:pt>
                <c:pt idx="961">
                  <c:v>500</c:v>
                </c:pt>
                <c:pt idx="962">
                  <c:v>10000</c:v>
                </c:pt>
                <c:pt idx="963">
                  <c:v>25000</c:v>
                </c:pt>
                <c:pt idx="964">
                  <c:v>1000</c:v>
                </c:pt>
                <c:pt idx="965">
                  <c:v>8000</c:v>
                </c:pt>
                <c:pt idx="966">
                  <c:v>3000</c:v>
                </c:pt>
                <c:pt idx="967">
                  <c:v>18000</c:v>
                </c:pt>
                <c:pt idx="968">
                  <c:v>100</c:v>
                </c:pt>
                <c:pt idx="969">
                  <c:v>800</c:v>
                </c:pt>
                <c:pt idx="970">
                  <c:v>20000</c:v>
                </c:pt>
                <c:pt idx="971">
                  <c:v>12000</c:v>
                </c:pt>
                <c:pt idx="972">
                  <c:v>6000</c:v>
                </c:pt>
                <c:pt idx="973">
                  <c:v>4000</c:v>
                </c:pt>
                <c:pt idx="974">
                  <c:v>15000</c:v>
                </c:pt>
                <c:pt idx="975">
                  <c:v>2000</c:v>
                </c:pt>
                <c:pt idx="976">
                  <c:v>500</c:v>
                </c:pt>
                <c:pt idx="977">
                  <c:v>10000</c:v>
                </c:pt>
                <c:pt idx="978">
                  <c:v>25000</c:v>
                </c:pt>
                <c:pt idx="979">
                  <c:v>1000</c:v>
                </c:pt>
                <c:pt idx="980">
                  <c:v>8000</c:v>
                </c:pt>
                <c:pt idx="981">
                  <c:v>3000</c:v>
                </c:pt>
                <c:pt idx="982">
                  <c:v>18000</c:v>
                </c:pt>
                <c:pt idx="983">
                  <c:v>100</c:v>
                </c:pt>
              </c:numCache>
            </c:numRef>
          </c:yVal>
          <c:smooth val="0"/>
          <c:extLst>
            <c:ext xmlns:c16="http://schemas.microsoft.com/office/drawing/2014/chart" uri="{C3380CC4-5D6E-409C-BE32-E72D297353CC}">
              <c16:uniqueId val="{00000000-CC99-423A-9576-0B16B79D482F}"/>
            </c:ext>
          </c:extLst>
        </c:ser>
        <c:dLbls>
          <c:showLegendKey val="0"/>
          <c:showVal val="0"/>
          <c:showCatName val="0"/>
          <c:showSerName val="0"/>
          <c:showPercent val="0"/>
          <c:showBubbleSize val="0"/>
        </c:dLbls>
        <c:axId val="507918816"/>
        <c:axId val="507921112"/>
      </c:scatterChart>
      <c:valAx>
        <c:axId val="507918816"/>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921112"/>
        <c:crosses val="autoZero"/>
        <c:crossBetween val="midCat"/>
      </c:valAx>
      <c:valAx>
        <c:axId val="507921112"/>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918816"/>
        <c:crosses val="autoZero"/>
        <c:crossBetween val="midCat"/>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[hospital_analysis.xlsx]No. of patients by Age Group!PivotTable6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No of Patients by Age Group</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'No. of patients by Age Group'!$B$3</c:f>
              <c:strCache>
                <c:ptCount val="1"/>
                <c:pt idx="0">
                  <c:v>Total</c:v>
                </c:pt>
              </c:strCache>
            </c:strRef>
          </c:tx>
          <c:spPr>
            <a:solidFill>
              <a:schemeClr val="accent1"/>
            </a:solidFill>
            <a:ln>
              <a:noFill/>
            </a:ln>
            <a:effectLst/>
          </c:spPr>
          <c:invertIfNegative val="0"/>
          <c:cat>
            <c:strRef>
              <c:f>'No. of patients by Age Group'!$A$4:$A$8</c:f>
              <c:strCache>
                <c:ptCount val="5"/>
                <c:pt idx="0">
                  <c:v>18-29</c:v>
                </c:pt>
                <c:pt idx="1">
                  <c:v>30-44</c:v>
                </c:pt>
                <c:pt idx="2">
                  <c:v>45-59</c:v>
                </c:pt>
                <c:pt idx="3">
                  <c:v>60-74</c:v>
                </c:pt>
                <c:pt idx="4">
                  <c:v>75+</c:v>
                </c:pt>
              </c:strCache>
            </c:strRef>
          </c:cat>
          <c:val>
            <c:numRef>
              <c:f>'No. of patients by Age Group'!$B$4:$B$8</c:f>
              <c:numCache>
                <c:formatCode>General</c:formatCode>
                <c:ptCount val="5"/>
                <c:pt idx="0">
                  <c:v>66</c:v>
                </c:pt>
                <c:pt idx="1">
                  <c:v>165</c:v>
                </c:pt>
                <c:pt idx="2">
                  <c:v>360</c:v>
                </c:pt>
                <c:pt idx="3">
                  <c:v>293</c:v>
                </c:pt>
                <c:pt idx="4">
                  <c:v>100</c:v>
                </c:pt>
              </c:numCache>
            </c:numRef>
          </c:val>
          <c:extLst>
            <c:ext xmlns:c16="http://schemas.microsoft.com/office/drawing/2014/chart" uri="{C3380CC4-5D6E-409C-BE32-E72D297353CC}">
              <c16:uniqueId val="{00000000-31B3-4E82-A259-9BDE210B0F0A}"/>
            </c:ext>
          </c:extLst>
        </c:ser>
        <c:dLbls>
          <c:showLegendKey val="0"/>
          <c:showVal val="0"/>
          <c:showCatName val="0"/>
          <c:showSerName val="0"/>
          <c:showPercent val="0"/>
          <c:showBubbleSize val="0"/>
        </c:dLbls>
        <c:gapWidth val="219"/>
        <c:overlap val="-27"/>
        <c:axId val="499668976"/>
        <c:axId val="499659136"/>
      </c:barChart>
      <c:catAx>
        <c:axId val="499668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9659136"/>
        <c:crosses val="autoZero"/>
        <c:auto val="1"/>
        <c:lblAlgn val="ctr"/>
        <c:lblOffset val="100"/>
        <c:noMultiLvlLbl val="0"/>
      </c:catAx>
      <c:valAx>
        <c:axId val="4996591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9668976"/>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[hospital_analysis.xlsx]Pivots!Cost by Condition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Average</a:t>
            </a:r>
            <a:r>
              <a:rPr lang="en-ZA" baseline="0"/>
              <a:t> Cost by Condition</a:t>
            </a:r>
            <a:endParaRPr lang="en-ZA"/>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solidFill>
              <a:schemeClr val="accent5">
                <a:lumMod val="75000"/>
              </a:schemeClr>
            </a:solidFill>
          </a:ln>
          <a:effectLst/>
        </c:spPr>
        <c:marker>
          <c:symbol val="none"/>
        </c:marker>
      </c:pivotFmt>
      <c:pivotFmt>
        <c:idx val="7"/>
        <c:spPr>
          <a:solidFill>
            <a:schemeClr val="accent1"/>
          </a:solidFill>
          <a:ln>
            <a:noFill/>
          </a:ln>
          <a:effectLst/>
        </c:spPr>
        <c:marker>
          <c:symbol val="none"/>
        </c:marker>
      </c:pivotFmt>
    </c:pivotFmts>
    <c:plotArea>
      <c:layout/>
      <c:barChart>
        <c:barDir val="bar"/>
        <c:grouping val="clustered"/>
        <c:varyColors val="0"/>
        <c:ser>
          <c:idx val="0"/>
          <c:order val="0"/>
          <c:tx>
            <c:strRef>
              <c:f>Pivots!$B$3</c:f>
              <c:strCache>
                <c:ptCount val="1"/>
                <c:pt idx="0">
                  <c:v>Average of Cost</c:v>
                </c:pt>
              </c:strCache>
            </c:strRef>
          </c:tx>
          <c:spPr>
            <a:solidFill>
              <a:schemeClr val="accent1"/>
            </a:solidFill>
            <a:ln>
              <a:solidFill>
                <a:schemeClr val="accent5">
                  <a:lumMod val="75000"/>
                </a:schemeClr>
              </a:solidFill>
            </a:ln>
            <a:effectLst/>
          </c:spPr>
          <c:invertIfNegative val="0"/>
          <c:cat>
            <c:strRef>
              <c:f>Pivots!$A$4:$A$19</c:f>
              <c:strCache>
                <c:ptCount val="15"/>
                <c:pt idx="0">
                  <c:v>Allergic Reaction</c:v>
                </c:pt>
                <c:pt idx="1">
                  <c:v>Fractured Arm</c:v>
                </c:pt>
                <c:pt idx="2">
                  <c:v>Respiratory Infection</c:v>
                </c:pt>
                <c:pt idx="3">
                  <c:v>Hypertension</c:v>
                </c:pt>
                <c:pt idx="4">
                  <c:v>Diabetes</c:v>
                </c:pt>
                <c:pt idx="5">
                  <c:v>Fractured Leg</c:v>
                </c:pt>
                <c:pt idx="6">
                  <c:v>Osteoarthritis</c:v>
                </c:pt>
                <c:pt idx="7">
                  <c:v>Kidney Stones</c:v>
                </c:pt>
                <c:pt idx="8">
                  <c:v>Appendicitis</c:v>
                </c:pt>
                <c:pt idx="9">
                  <c:v>Stroke</c:v>
                </c:pt>
                <c:pt idx="10">
                  <c:v>Childbirth</c:v>
                </c:pt>
                <c:pt idx="11">
                  <c:v>Heart Disease</c:v>
                </c:pt>
                <c:pt idx="12">
                  <c:v>Heart Attack</c:v>
                </c:pt>
                <c:pt idx="13">
                  <c:v>Prostate Cancer</c:v>
                </c:pt>
                <c:pt idx="14">
                  <c:v>Cancer</c:v>
                </c:pt>
              </c:strCache>
            </c:strRef>
          </c:cat>
          <c:val>
            <c:numRef>
              <c:f>Pivots!$B$4:$B$19</c:f>
              <c:numCache>
                <c:formatCode>General</c:formatCode>
                <c:ptCount val="15"/>
                <c:pt idx="0">
                  <c:v>100</c:v>
                </c:pt>
                <c:pt idx="1">
                  <c:v>500</c:v>
                </c:pt>
                <c:pt idx="2">
                  <c:v>800</c:v>
                </c:pt>
                <c:pt idx="3">
                  <c:v>1000</c:v>
                </c:pt>
                <c:pt idx="4">
                  <c:v>2000</c:v>
                </c:pt>
                <c:pt idx="5">
                  <c:v>3000</c:v>
                </c:pt>
                <c:pt idx="6">
                  <c:v>4000</c:v>
                </c:pt>
                <c:pt idx="7">
                  <c:v>6000</c:v>
                </c:pt>
                <c:pt idx="8">
                  <c:v>8000</c:v>
                </c:pt>
                <c:pt idx="9">
                  <c:v>10000</c:v>
                </c:pt>
                <c:pt idx="10">
                  <c:v>12000</c:v>
                </c:pt>
                <c:pt idx="11">
                  <c:v>15000</c:v>
                </c:pt>
                <c:pt idx="12">
                  <c:v>18000</c:v>
                </c:pt>
                <c:pt idx="13">
                  <c:v>20000</c:v>
                </c:pt>
                <c:pt idx="14">
                  <c:v>25000</c:v>
                </c:pt>
              </c:numCache>
            </c:numRef>
          </c:val>
          <c:extLst>
            <c:ext xmlns:c16="http://schemas.microsoft.com/office/drawing/2014/chart" uri="{C3380CC4-5D6E-409C-BE32-E72D297353CC}">
              <c16:uniqueId val="{00000000-C478-49AF-B802-F3E8B021872C}"/>
            </c:ext>
          </c:extLst>
        </c:ser>
        <c:ser>
          <c:idx val="1"/>
          <c:order val="1"/>
          <c:tx>
            <c:strRef>
              <c:f>Pivots!$C$3</c:f>
              <c:strCache>
                <c:ptCount val="1"/>
                <c:pt idx="0">
                  <c:v>No. of Patients</c:v>
                </c:pt>
              </c:strCache>
            </c:strRef>
          </c:tx>
          <c:spPr>
            <a:solidFill>
              <a:schemeClr val="accent2"/>
            </a:solidFill>
            <a:ln>
              <a:noFill/>
            </a:ln>
            <a:effectLst/>
          </c:spPr>
          <c:invertIfNegative val="0"/>
          <c:cat>
            <c:strRef>
              <c:f>Pivots!$A$4:$A$19</c:f>
              <c:strCache>
                <c:ptCount val="15"/>
                <c:pt idx="0">
                  <c:v>Allergic Reaction</c:v>
                </c:pt>
                <c:pt idx="1">
                  <c:v>Fractured Arm</c:v>
                </c:pt>
                <c:pt idx="2">
                  <c:v>Respiratory Infection</c:v>
                </c:pt>
                <c:pt idx="3">
                  <c:v>Hypertension</c:v>
                </c:pt>
                <c:pt idx="4">
                  <c:v>Diabetes</c:v>
                </c:pt>
                <c:pt idx="5">
                  <c:v>Fractured Leg</c:v>
                </c:pt>
                <c:pt idx="6">
                  <c:v>Osteoarthritis</c:v>
                </c:pt>
                <c:pt idx="7">
                  <c:v>Kidney Stones</c:v>
                </c:pt>
                <c:pt idx="8">
                  <c:v>Appendicitis</c:v>
                </c:pt>
                <c:pt idx="9">
                  <c:v>Stroke</c:v>
                </c:pt>
                <c:pt idx="10">
                  <c:v>Childbirth</c:v>
                </c:pt>
                <c:pt idx="11">
                  <c:v>Heart Disease</c:v>
                </c:pt>
                <c:pt idx="12">
                  <c:v>Heart Attack</c:v>
                </c:pt>
                <c:pt idx="13">
                  <c:v>Prostate Cancer</c:v>
                </c:pt>
                <c:pt idx="14">
                  <c:v>Cancer</c:v>
                </c:pt>
              </c:strCache>
            </c:strRef>
          </c:cat>
          <c:val>
            <c:numRef>
              <c:f>Pivots!$C$4:$C$19</c:f>
              <c:numCache>
                <c:formatCode>General</c:formatCode>
                <c:ptCount val="15"/>
                <c:pt idx="0">
                  <c:v>66</c:v>
                </c:pt>
                <c:pt idx="1">
                  <c:v>66</c:v>
                </c:pt>
                <c:pt idx="2">
                  <c:v>65</c:v>
                </c:pt>
                <c:pt idx="3">
                  <c:v>66</c:v>
                </c:pt>
                <c:pt idx="4">
                  <c:v>65</c:v>
                </c:pt>
                <c:pt idx="5">
                  <c:v>67</c:v>
                </c:pt>
                <c:pt idx="6">
                  <c:v>64</c:v>
                </c:pt>
                <c:pt idx="7">
                  <c:v>65</c:v>
                </c:pt>
                <c:pt idx="8">
                  <c:v>66</c:v>
                </c:pt>
                <c:pt idx="9">
                  <c:v>66</c:v>
                </c:pt>
                <c:pt idx="10">
                  <c:v>65</c:v>
                </c:pt>
                <c:pt idx="11">
                  <c:v>65</c:v>
                </c:pt>
                <c:pt idx="12">
                  <c:v>67</c:v>
                </c:pt>
                <c:pt idx="13">
                  <c:v>65</c:v>
                </c:pt>
                <c:pt idx="14">
                  <c:v>66</c:v>
                </c:pt>
              </c:numCache>
            </c:numRef>
          </c:val>
          <c:extLst>
            <c:ext xmlns:c16="http://schemas.microsoft.com/office/drawing/2014/chart" uri="{C3380CC4-5D6E-409C-BE32-E72D297353CC}">
              <c16:uniqueId val="{00000001-C478-49AF-B802-F3E8B021872C}"/>
            </c:ext>
          </c:extLst>
        </c:ser>
        <c:dLbls>
          <c:showLegendKey val="0"/>
          <c:showVal val="0"/>
          <c:showCatName val="0"/>
          <c:showSerName val="0"/>
          <c:showPercent val="0"/>
          <c:showBubbleSize val="0"/>
        </c:dLbls>
        <c:gapWidth val="182"/>
        <c:axId val="446507096"/>
        <c:axId val="446504144"/>
      </c:barChart>
      <c:catAx>
        <c:axId val="446507096"/>
        <c:scaling>
          <c:orientation val="minMax"/>
        </c:scaling>
        <c:delete val="0"/>
        <c:axPos val="l"/>
        <c:title>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504144"/>
        <c:crosses val="autoZero"/>
        <c:auto val="1"/>
        <c:lblAlgn val="ctr"/>
        <c:lblOffset val="100"/>
        <c:noMultiLvlLbl val="0"/>
      </c:catAx>
      <c:valAx>
        <c:axId val="446504144"/>
        <c:scaling>
          <c:orientation val="minMax"/>
        </c:scaling>
        <c:delete val="0"/>
        <c:axPos val="b"/>
        <c:title>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50709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[hospital_analysis.xlsx]Pivots!Readmission Analysis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Readmission</a:t>
            </a:r>
            <a:r>
              <a:rPr lang="en-US" baseline="0"/>
              <a:t> by Condition</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solidFill>
              <a:schemeClr val="accent5">
                <a:lumMod val="75000"/>
              </a:schemeClr>
            </a:solidFill>
          </a:ln>
          <a:effectLst/>
        </c:spPr>
        <c:marker>
          <c:symbol val="none"/>
        </c:marker>
      </c:pivotFmt>
    </c:pivotFmts>
    <c:plotArea>
      <c:layout/>
      <c:barChart>
        <c:barDir val="bar"/>
        <c:grouping val="clustered"/>
        <c:varyColors val="0"/>
        <c:ser>
          <c:idx val="0"/>
          <c:order val="0"/>
          <c:tx>
            <c:strRef>
              <c:f>Pivots!$F$5</c:f>
              <c:strCache>
                <c:ptCount val="1"/>
                <c:pt idx="0">
                  <c:v>Total</c:v>
                </c:pt>
              </c:strCache>
            </c:strRef>
          </c:tx>
          <c:spPr>
            <a:solidFill>
              <a:schemeClr val="accent1"/>
            </a:solidFill>
            <a:ln>
              <a:solidFill>
                <a:schemeClr val="accent5">
                  <a:lumMod val="75000"/>
                </a:schemeClr>
              </a:solidFill>
            </a:ln>
            <a:effectLst/>
          </c:spPr>
          <c:invertIfNegative val="0"/>
          <c:cat>
            <c:strRef>
              <c:f>Pivots!$E$6:$E$13</c:f>
              <c:strCache>
                <c:ptCount val="7"/>
                <c:pt idx="0">
                  <c:v>Diabetes</c:v>
                </c:pt>
                <c:pt idx="1">
                  <c:v>Fractured Arm</c:v>
                </c:pt>
                <c:pt idx="2">
                  <c:v>Appendicitis</c:v>
                </c:pt>
                <c:pt idx="3">
                  <c:v>Cancer</c:v>
                </c:pt>
                <c:pt idx="4">
                  <c:v>Stroke</c:v>
                </c:pt>
                <c:pt idx="5">
                  <c:v>Heart Disease</c:v>
                </c:pt>
                <c:pt idx="6">
                  <c:v>Heart Attack</c:v>
                </c:pt>
              </c:strCache>
            </c:strRef>
          </c:cat>
          <c:val>
            <c:numRef>
              <c:f>Pivots!$F$6:$F$13</c:f>
              <c:numCache>
                <c:formatCode>General</c:formatCode>
                <c:ptCount val="7"/>
                <c:pt idx="0">
                  <c:v>1</c:v>
                </c:pt>
                <c:pt idx="1">
                  <c:v>33</c:v>
                </c:pt>
                <c:pt idx="2">
                  <c:v>33</c:v>
                </c:pt>
                <c:pt idx="3">
                  <c:v>33</c:v>
                </c:pt>
                <c:pt idx="4">
                  <c:v>33</c:v>
                </c:pt>
                <c:pt idx="5">
                  <c:v>64</c:v>
                </c:pt>
                <c:pt idx="6">
                  <c:v>67</c:v>
                </c:pt>
              </c:numCache>
            </c:numRef>
          </c:val>
          <c:extLst>
            <c:ext xmlns:c16="http://schemas.microsoft.com/office/drawing/2014/chart" uri="{C3380CC4-5D6E-409C-BE32-E72D297353CC}">
              <c16:uniqueId val="{00000000-E7DB-4497-97ED-D1A687397027}"/>
            </c:ext>
          </c:extLst>
        </c:ser>
        <c:dLbls>
          <c:showLegendKey val="0"/>
          <c:showVal val="0"/>
          <c:showCatName val="0"/>
          <c:showSerName val="0"/>
          <c:showPercent val="0"/>
          <c:showBubbleSize val="0"/>
        </c:dLbls>
        <c:gapWidth val="182"/>
        <c:axId val="443811248"/>
        <c:axId val="443809936"/>
      </c:barChart>
      <c:catAx>
        <c:axId val="4438112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3809936"/>
        <c:crosses val="autoZero"/>
        <c:auto val="1"/>
        <c:lblAlgn val="ctr"/>
        <c:lblOffset val="100"/>
        <c:noMultiLvlLbl val="0"/>
      </c:catAx>
      <c:valAx>
        <c:axId val="44380993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381124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[hospital_analysis.xlsx]Pivots!Satisfaction by Outcome</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ZA"/>
              <a:t>Satisfaction by Outcome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dLbl>
          <c:idx val="0"/>
          <c:layout/>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17"/>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5"/>
          </a:solidFill>
          <a:ln w="19050">
            <a:solidFill>
              <a:schemeClr val="lt1"/>
            </a:solidFill>
          </a:ln>
          <a:effectLst/>
        </c:spPr>
        <c:marker>
          <c:symbol val="circle"/>
          <c:size val="5"/>
        </c:marker>
        <c:dLbl>
          <c:idx val="0"/>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ext>
          </c:extLst>
        </c:dLbl>
      </c:pivotFmt>
      <c:pivotFmt>
        <c:idx val="21"/>
        <c:spPr>
          <a:solidFill>
            <a:schemeClr val="accent5"/>
          </a:solidFill>
          <a:ln w="19050">
            <a:solidFill>
              <a:schemeClr val="lt1"/>
            </a:solidFill>
          </a:ln>
          <a:effectLst/>
        </c:spPr>
        <c:marker>
          <c:symbol val="circle"/>
          <c:size val="5"/>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471303587051625"/>
          <c:y val="0.17634259259259263"/>
          <c:w val="0.46641666666666665"/>
          <c:h val="0.77736111111111106"/>
        </c:manualLayout>
      </c:layout>
      <c:pieChart>
        <c:varyColors val="1"/>
        <c:ser>
          <c:idx val="0"/>
          <c:order val="0"/>
          <c:tx>
            <c:strRef>
              <c:f>Pivots!$I$3</c:f>
              <c:strCache>
                <c:ptCount val="1"/>
                <c:pt idx="0">
                  <c:v>Average of Satisfaction</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1-4F06-4AA2-A12E-B2D67E4F2FF9}"/>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3-4F06-4AA2-A12E-B2D67E4F2FF9}"/>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Pivots!$H$4:$H$6</c:f>
              <c:strCache>
                <c:ptCount val="2"/>
                <c:pt idx="0">
                  <c:v>Recovered</c:v>
                </c:pt>
                <c:pt idx="1">
                  <c:v>Stable</c:v>
                </c:pt>
              </c:strCache>
            </c:strRef>
          </c:cat>
          <c:val>
            <c:numRef>
              <c:f>Pivots!$I$4:$I$6</c:f>
              <c:numCache>
                <c:formatCode>0.00</c:formatCode>
                <c:ptCount val="2"/>
                <c:pt idx="0">
                  <c:v>3.8358714043993234</c:v>
                </c:pt>
                <c:pt idx="1">
                  <c:v>3.2417302798982188</c:v>
                </c:pt>
              </c:numCache>
            </c:numRef>
          </c:val>
          <c:extLst>
            <c:ext xmlns:c16="http://schemas.microsoft.com/office/drawing/2014/chart" uri="{C3380CC4-5D6E-409C-BE32-E72D297353CC}">
              <c16:uniqueId val="{00000004-4F06-4AA2-A12E-B2D67E4F2FF9}"/>
            </c:ext>
          </c:extLst>
        </c:ser>
        <c:ser>
          <c:idx val="1"/>
          <c:order val="1"/>
          <c:tx>
            <c:strRef>
              <c:f>Pivots!$J$3</c:f>
              <c:strCache>
                <c:ptCount val="1"/>
                <c:pt idx="0">
                  <c:v>No. of Patients</c:v>
                </c:pt>
              </c:strCache>
            </c:strRef>
          </c:tx>
          <c:dPt>
            <c:idx val="0"/>
            <c:bubble3D val="0"/>
            <c:spPr>
              <a:solidFill>
                <a:schemeClr val="accent5">
                  <a:shade val="76000"/>
                </a:schemeClr>
              </a:solidFill>
              <a:ln w="19050">
                <a:solidFill>
                  <a:schemeClr val="lt1"/>
                </a:solidFill>
              </a:ln>
              <a:effectLst/>
            </c:spPr>
            <c:extLst>
              <c:ext xmlns:c16="http://schemas.microsoft.com/office/drawing/2014/chart" uri="{C3380CC4-5D6E-409C-BE32-E72D297353CC}">
                <c16:uniqueId val="{00000006-4F06-4AA2-A12E-B2D67E4F2FF9}"/>
              </c:ext>
            </c:extLst>
          </c:dPt>
          <c:dPt>
            <c:idx val="1"/>
            <c:bubble3D val="0"/>
            <c:spPr>
              <a:solidFill>
                <a:schemeClr val="accent5">
                  <a:tint val="77000"/>
                </a:schemeClr>
              </a:solidFill>
              <a:ln w="19050">
                <a:solidFill>
                  <a:schemeClr val="lt1"/>
                </a:solidFill>
              </a:ln>
              <a:effectLst/>
            </c:spPr>
            <c:extLst>
              <c:ext xmlns:c16="http://schemas.microsoft.com/office/drawing/2014/chart" uri="{C3380CC4-5D6E-409C-BE32-E72D297353CC}">
                <c16:uniqueId val="{00000008-4F06-4AA2-A12E-B2D67E4F2FF9}"/>
              </c:ext>
            </c:extLst>
          </c:dPt>
          <c:dLbls>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Pivots!$H$4:$H$6</c:f>
              <c:strCache>
                <c:ptCount val="2"/>
                <c:pt idx="0">
                  <c:v>Recovered</c:v>
                </c:pt>
                <c:pt idx="1">
                  <c:v>Stable</c:v>
                </c:pt>
              </c:strCache>
            </c:strRef>
          </c:cat>
          <c:val>
            <c:numRef>
              <c:f>Pivots!$J$4:$J$6</c:f>
              <c:numCache>
                <c:formatCode>General</c:formatCode>
                <c:ptCount val="2"/>
                <c:pt idx="0">
                  <c:v>591</c:v>
                </c:pt>
                <c:pt idx="1">
                  <c:v>393</c:v>
                </c:pt>
              </c:numCache>
            </c:numRef>
          </c:val>
          <c:extLst>
            <c:ext xmlns:c16="http://schemas.microsoft.com/office/drawing/2014/chart" uri="{C3380CC4-5D6E-409C-BE32-E72D297353CC}">
              <c16:uniqueId val="{00000009-4F06-4AA2-A12E-B2D67E4F2FF9}"/>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14</xdr:col>
      <xdr:colOff>19050</xdr:colOff>
      <xdr:row>0</xdr:row>
      <xdr:rowOff>0</xdr:rowOff>
    </xdr:from>
    <xdr:to>
      <xdr:col>21</xdr:col>
      <xdr:colOff>323850</xdr:colOff>
      <xdr:row>14</xdr:row>
      <xdr:rowOff>165100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0</xdr:colOff>
      <xdr:row>16</xdr:row>
      <xdr:rowOff>0</xdr:rowOff>
    </xdr:from>
    <xdr:to>
      <xdr:col>21</xdr:col>
      <xdr:colOff>304800</xdr:colOff>
      <xdr:row>30</xdr:row>
      <xdr:rowOff>165100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304800</xdr:colOff>
      <xdr:row>8</xdr:row>
      <xdr:rowOff>0</xdr:rowOff>
    </xdr:from>
    <xdr:to>
      <xdr:col>5</xdr:col>
      <xdr:colOff>977900</xdr:colOff>
      <xdr:row>22</xdr:row>
      <xdr:rowOff>165100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577850</xdr:colOff>
      <xdr:row>7</xdr:row>
      <xdr:rowOff>50800</xdr:rowOff>
    </xdr:from>
    <xdr:to>
      <xdr:col>11</xdr:col>
      <xdr:colOff>984250</xdr:colOff>
      <xdr:row>22</xdr:row>
      <xdr:rowOff>31750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215900</xdr:colOff>
      <xdr:row>7</xdr:row>
      <xdr:rowOff>6350</xdr:rowOff>
    </xdr:from>
    <xdr:to>
      <xdr:col>17</xdr:col>
      <xdr:colOff>50800</xdr:colOff>
      <xdr:row>23</xdr:row>
      <xdr:rowOff>19050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146050</xdr:colOff>
      <xdr:row>24</xdr:row>
      <xdr:rowOff>19051</xdr:rowOff>
    </xdr:from>
    <xdr:to>
      <xdr:col>17</xdr:col>
      <xdr:colOff>184150</xdr:colOff>
      <xdr:row>32</xdr:row>
      <xdr:rowOff>6350</xdr:rowOff>
    </xdr:to>
    <mc:AlternateContent xmlns:mc="http://schemas.openxmlformats.org/markup-compatibility/2006">
      <mc:Choice xmlns:a14="http://schemas.microsoft.com/office/drawing/2010/main" Requires="a14">
        <xdr:graphicFrame macro="">
          <xdr:nvGraphicFramePr>
            <xdr:cNvPr id="7" name="Condition 1"/>
            <xdr:cNvGraphicFramePr/>
          </xdr:nvGraphicFramePr>
          <xdr:xfrm>
            <a:off x="0" y="0"/>
            <a:ext cx="0" cy="0"/>
          </xdr:xfrm>
          <a:graphic>
            <a:graphicData uri="http://schemas.microsoft.com/office/drawing/2010/slicer">
              <sle:slicer xmlns:sle="http://schemas.microsoft.com/office/drawing/2010/slicer" name="Condition 1"/>
            </a:graphicData>
          </a:graphic>
        </xdr:graphicFrame>
      </mc:Choice>
      <mc:Fallback>
        <xdr:sp macro="" textlink="">
          <xdr:nvSpPr>
            <xdr:cNvPr id="0" name=""/>
            <xdr:cNvSpPr>
              <a:spLocks noTextEdit="1"/>
            </xdr:cNvSpPr>
          </xdr:nvSpPr>
          <xdr:spPr>
            <a:xfrm>
              <a:off x="6540500" y="4730751"/>
              <a:ext cx="5689600" cy="146049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336550</xdr:colOff>
      <xdr:row>24</xdr:row>
      <xdr:rowOff>31750</xdr:rowOff>
    </xdr:from>
    <xdr:to>
      <xdr:col>8</xdr:col>
      <xdr:colOff>990600</xdr:colOff>
      <xdr:row>29</xdr:row>
      <xdr:rowOff>98425</xdr:rowOff>
    </xdr:to>
    <mc:AlternateContent xmlns:mc="http://schemas.openxmlformats.org/markup-compatibility/2006">
      <mc:Choice xmlns:a14="http://schemas.microsoft.com/office/drawing/2010/main" Requires="a14">
        <xdr:graphicFrame macro="">
          <xdr:nvGraphicFramePr>
            <xdr:cNvPr id="8" name="Gender 1"/>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4514850" y="4743450"/>
              <a:ext cx="1873250" cy="98742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Xolani Mngomezulu" refreshedDate="46180.953179861113" createdVersion="6" refreshedVersion="6" minRefreshableVersion="3" recordCount="984">
  <cacheSource type="worksheet">
    <worksheetSource ref="A1:M985" sheet="Patients"/>
  </cacheSource>
  <cacheFields count="13">
    <cacheField name="Patient_ID" numFmtId="0">
      <sharedItems containsSemiMixedTypes="0" containsString="0" containsNumber="1" containsInteger="1" minValue="1" maxValue="1000"/>
    </cacheField>
    <cacheField name="Age" numFmtId="0">
      <sharedItems containsSemiMixedTypes="0" containsString="0" containsNumber="1" containsInteger="1" minValue="25" maxValue="78"/>
    </cacheField>
    <cacheField name="Gender" numFmtId="0">
      <sharedItems count="2">
        <s v="Female"/>
        <s v="Male"/>
      </sharedItems>
    </cacheField>
    <cacheField name="Condition" numFmtId="0">
      <sharedItems count="15">
        <s v="Heart Disease"/>
        <s v="Diabetes"/>
        <s v="Fractured Arm"/>
        <s v="Stroke"/>
        <s v="Cancer"/>
        <s v="Hypertension"/>
        <s v="Appendicitis"/>
        <s v="Fractured Leg"/>
        <s v="Heart Attack"/>
        <s v="Allergic Reaction"/>
        <s v="Respiratory Infection"/>
        <s v="Prostate Cancer"/>
        <s v="Childbirth"/>
        <s v="Kidney Stones"/>
        <s v="Osteoarthritis"/>
      </sharedItems>
    </cacheField>
    <cacheField name="Procedure" numFmtId="0">
      <sharedItems/>
    </cacheField>
    <cacheField name="Cost" numFmtId="0">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ount="2">
        <s v="No"/>
        <s v="Yes"/>
      </sharedItems>
    </cacheField>
    <cacheField name="Outcome" numFmtId="0">
      <sharedItems count="2">
        <s v="Recovered"/>
        <s v="Stable"/>
      </sharedItems>
    </cacheField>
    <cacheField name="Satisfaction" numFmtId="0">
      <sharedItems containsSemiMixedTypes="0" containsString="0" containsNumber="1" containsInteger="1" minValue="2" maxValue="5"/>
    </cacheField>
    <cacheField name="Age Group" numFmtId="0">
      <sharedItems count="5">
        <s v="45-59"/>
        <s v="60-74"/>
        <s v="30-44"/>
        <s v="75+"/>
        <s v="18-29"/>
      </sharedItems>
    </cacheField>
    <cacheField name="Cost Tier" numFmtId="0">
      <sharedItems/>
    </cacheField>
    <cacheField name="High Satisfaction" numFmtId="0">
      <sharedItems/>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Xolani Mngomezulu" refreshedDate="46181.578253935186" createdVersion="6" refreshedVersion="6" minRefreshableVersion="3" recordCount="984">
  <cacheSource type="worksheet">
    <worksheetSource ref="A1:M985" sheet="Patients"/>
  </cacheSource>
  <cacheFields count="13">
    <cacheField name="Patient_ID" numFmtId="0">
      <sharedItems containsSemiMixedTypes="0" containsString="0" containsNumber="1" containsInteger="1" minValue="1" maxValue="1000"/>
    </cacheField>
    <cacheField name="Age" numFmtId="0">
      <sharedItems containsSemiMixedTypes="0" containsString="0" containsNumber="1" containsInteger="1" minValue="25" maxValue="78"/>
    </cacheField>
    <cacheField name="Gender" numFmtId="0">
      <sharedItems/>
    </cacheField>
    <cacheField name="Condition" numFmtId="0">
      <sharedItems/>
    </cacheField>
    <cacheField name="Procedure" numFmtId="0">
      <sharedItems/>
    </cacheField>
    <cacheField name="Cost" numFmtId="0">
      <sharedItems containsSemiMixedTypes="0" containsString="0" containsNumber="1" containsInteger="1" minValue="100" maxValue="25000"/>
    </cacheField>
    <cacheField name="Length_of_Stay" numFmtId="0">
      <sharedItems containsSemiMixedTypes="0" containsString="0" containsNumber="1" containsInteger="1" minValue="1" maxValue="76"/>
    </cacheField>
    <cacheField name="Readmission" numFmtId="0">
      <sharedItems/>
    </cacheField>
    <cacheField name="Outcome" numFmtId="0">
      <sharedItems/>
    </cacheField>
    <cacheField name="Satisfaction" numFmtId="0">
      <sharedItems containsSemiMixedTypes="0" containsString="0" containsNumber="1" containsInteger="1" minValue="2" maxValue="5"/>
    </cacheField>
    <cacheField name="Age Group" numFmtId="0">
      <sharedItems count="5">
        <s v="45-59"/>
        <s v="60-74"/>
        <s v="30-44"/>
        <s v="75+"/>
        <s v="18-29"/>
      </sharedItems>
    </cacheField>
    <cacheField name="Cost Tier" numFmtId="0">
      <sharedItems/>
    </cacheField>
    <cacheField name="High Satisfaction"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984">
  <r>
    <n v="1"/>
    <n v="45"/>
    <x v="0"/>
    <x v="0"/>
    <s v="Angioplasty"/>
    <n v="15000"/>
    <n v="5"/>
    <x v="0"/>
    <x v="0"/>
    <n v="4"/>
    <x v="0"/>
    <s v="High"/>
    <s v="Yes"/>
  </r>
  <r>
    <n v="2"/>
    <n v="60"/>
    <x v="1"/>
    <x v="1"/>
    <s v="Insulin Therapy"/>
    <n v="2000"/>
    <n v="3"/>
    <x v="1"/>
    <x v="1"/>
    <n v="3"/>
    <x v="1"/>
    <s v="Medium"/>
    <s v="No"/>
  </r>
  <r>
    <n v="3"/>
    <n v="32"/>
    <x v="0"/>
    <x v="2"/>
    <s v="X-Ray and Splint"/>
    <n v="500"/>
    <n v="1"/>
    <x v="0"/>
    <x v="0"/>
    <n v="5"/>
    <x v="2"/>
    <s v="Low"/>
    <s v="Yes"/>
  </r>
  <r>
    <n v="4"/>
    <n v="75"/>
    <x v="1"/>
    <x v="3"/>
    <s v="CT Scan and Medication"/>
    <n v="10000"/>
    <n v="7"/>
    <x v="1"/>
    <x v="1"/>
    <n v="2"/>
    <x v="3"/>
    <s v="High"/>
    <s v="No"/>
  </r>
  <r>
    <n v="5"/>
    <n v="50"/>
    <x v="0"/>
    <x v="4"/>
    <s v="Surgery and Chemotherapy"/>
    <n v="25000"/>
    <n v="10"/>
    <x v="0"/>
    <x v="0"/>
    <n v="4"/>
    <x v="0"/>
    <s v="High"/>
    <s v="Yes"/>
  </r>
  <r>
    <n v="6"/>
    <n v="68"/>
    <x v="1"/>
    <x v="5"/>
    <s v="Medication and Counseling"/>
    <n v="1000"/>
    <n v="2"/>
    <x v="0"/>
    <x v="1"/>
    <n v="4"/>
    <x v="1"/>
    <s v="Low"/>
    <s v="Yes"/>
  </r>
  <r>
    <n v="7"/>
    <n v="55"/>
    <x v="0"/>
    <x v="6"/>
    <s v="Appendectomy"/>
    <n v="8000"/>
    <n v="4"/>
    <x v="0"/>
    <x v="0"/>
    <n v="3"/>
    <x v="0"/>
    <s v="Medium"/>
    <s v="No"/>
  </r>
  <r>
    <n v="8"/>
    <n v="40"/>
    <x v="1"/>
    <x v="7"/>
    <s v="Cast and Physical Therapy"/>
    <n v="3000"/>
    <n v="6"/>
    <x v="0"/>
    <x v="0"/>
    <n v="4"/>
    <x v="2"/>
    <s v="Medium"/>
    <s v="Yes"/>
  </r>
  <r>
    <n v="9"/>
    <n v="70"/>
    <x v="0"/>
    <x v="8"/>
    <s v="Cardiac Catheterization"/>
    <n v="18000"/>
    <n v="8"/>
    <x v="1"/>
    <x v="1"/>
    <n v="2"/>
    <x v="1"/>
    <s v="High"/>
    <s v="No"/>
  </r>
  <r>
    <n v="10"/>
    <n v="25"/>
    <x v="1"/>
    <x v="9"/>
    <s v="Epinephrine Injection"/>
    <n v="100"/>
    <n v="1"/>
    <x v="0"/>
    <x v="0"/>
    <n v="5"/>
    <x v="4"/>
    <s v="Low"/>
    <s v="Yes"/>
  </r>
  <r>
    <n v="11"/>
    <n v="48"/>
    <x v="0"/>
    <x v="10"/>
    <s v="Antibiotics and Rest"/>
    <n v="800"/>
    <n v="2"/>
    <x v="0"/>
    <x v="1"/>
    <n v="4"/>
    <x v="0"/>
    <s v="Low"/>
    <s v="Yes"/>
  </r>
  <r>
    <n v="12"/>
    <n v="65"/>
    <x v="1"/>
    <x v="11"/>
    <s v="Radiation Therapy"/>
    <n v="20000"/>
    <n v="9"/>
    <x v="0"/>
    <x v="0"/>
    <n v="3"/>
    <x v="1"/>
    <s v="High"/>
    <s v="No"/>
  </r>
  <r>
    <n v="13"/>
    <n v="30"/>
    <x v="0"/>
    <x v="12"/>
    <s v="Delivery and Postnatal Care"/>
    <n v="12000"/>
    <n v="3"/>
    <x v="0"/>
    <x v="0"/>
    <n v="4"/>
    <x v="2"/>
    <s v="High"/>
    <s v="Yes"/>
  </r>
  <r>
    <n v="14"/>
    <n v="52"/>
    <x v="1"/>
    <x v="13"/>
    <s v="Lithotripsy"/>
    <n v="6000"/>
    <n v="4"/>
    <x v="0"/>
    <x v="0"/>
    <n v="3"/>
    <x v="0"/>
    <s v="Medium"/>
    <s v="No"/>
  </r>
  <r>
    <n v="15"/>
    <n v="58"/>
    <x v="0"/>
    <x v="14"/>
    <s v="Physical Therapy and Pain Management"/>
    <n v="4000"/>
    <n v="5"/>
    <x v="0"/>
    <x v="1"/>
    <n v="4"/>
    <x v="0"/>
    <s v="Medium"/>
    <s v="Yes"/>
  </r>
  <r>
    <n v="16"/>
    <n v="55"/>
    <x v="0"/>
    <x v="0"/>
    <s v="Angioplasty"/>
    <n v="15000"/>
    <n v="6"/>
    <x v="1"/>
    <x v="0"/>
    <n v="3"/>
    <x v="0"/>
    <s v="High"/>
    <s v="No"/>
  </r>
  <r>
    <n v="17"/>
    <n v="62"/>
    <x v="1"/>
    <x v="1"/>
    <s v="Insulin Therapy"/>
    <n v="2000"/>
    <n v="4"/>
    <x v="0"/>
    <x v="1"/>
    <n v="4"/>
    <x v="1"/>
    <s v="Medium"/>
    <s v="Yes"/>
  </r>
  <r>
    <n v="18"/>
    <n v="35"/>
    <x v="0"/>
    <x v="2"/>
    <s v="X-Ray and Splint"/>
    <n v="500"/>
    <n v="2"/>
    <x v="1"/>
    <x v="0"/>
    <n v="5"/>
    <x v="2"/>
    <s v="Low"/>
    <s v="Yes"/>
  </r>
  <r>
    <n v="19"/>
    <n v="78"/>
    <x v="1"/>
    <x v="3"/>
    <s v="CT Scan and Medication"/>
    <n v="10000"/>
    <n v="8"/>
    <x v="0"/>
    <x v="1"/>
    <n v="2"/>
    <x v="3"/>
    <s v="High"/>
    <s v="No"/>
  </r>
  <r>
    <n v="20"/>
    <n v="53"/>
    <x v="0"/>
    <x v="4"/>
    <s v="Surgery and Chemotherapy"/>
    <n v="25000"/>
    <n v="11"/>
    <x v="1"/>
    <x v="0"/>
    <n v="4"/>
    <x v="0"/>
    <s v="High"/>
    <s v="Yes"/>
  </r>
  <r>
    <n v="21"/>
    <n v="72"/>
    <x v="1"/>
    <x v="5"/>
    <s v="Medication and Counseling"/>
    <n v="1000"/>
    <n v="3"/>
    <x v="0"/>
    <x v="1"/>
    <n v="4"/>
    <x v="1"/>
    <s v="Low"/>
    <s v="Yes"/>
  </r>
  <r>
    <n v="22"/>
    <n v="60"/>
    <x v="0"/>
    <x v="6"/>
    <s v="Appendectomy"/>
    <n v="8000"/>
    <n v="5"/>
    <x v="1"/>
    <x v="0"/>
    <n v="3"/>
    <x v="1"/>
    <s v="Medium"/>
    <s v="No"/>
  </r>
  <r>
    <n v="23"/>
    <n v="45"/>
    <x v="1"/>
    <x v="7"/>
    <s v="Cast and Physical Therapy"/>
    <n v="3000"/>
    <n v="7"/>
    <x v="0"/>
    <x v="0"/>
    <n v="4"/>
    <x v="0"/>
    <s v="Medium"/>
    <s v="Yes"/>
  </r>
  <r>
    <n v="24"/>
    <n v="75"/>
    <x v="0"/>
    <x v="8"/>
    <s v="Cardiac Catheterization"/>
    <n v="18000"/>
    <n v="9"/>
    <x v="1"/>
    <x v="1"/>
    <n v="2"/>
    <x v="3"/>
    <s v="High"/>
    <s v="No"/>
  </r>
  <r>
    <n v="25"/>
    <n v="28"/>
    <x v="1"/>
    <x v="9"/>
    <s v="Epinephrine Injection"/>
    <n v="100"/>
    <n v="2"/>
    <x v="0"/>
    <x v="0"/>
    <n v="5"/>
    <x v="4"/>
    <s v="Low"/>
    <s v="Yes"/>
  </r>
  <r>
    <n v="26"/>
    <n v="52"/>
    <x v="0"/>
    <x v="10"/>
    <s v="Antibiotics and Rest"/>
    <n v="800"/>
    <n v="3"/>
    <x v="0"/>
    <x v="1"/>
    <n v="4"/>
    <x v="0"/>
    <s v="Low"/>
    <s v="Yes"/>
  </r>
  <r>
    <n v="27"/>
    <n v="67"/>
    <x v="1"/>
    <x v="11"/>
    <s v="Radiation Therapy"/>
    <n v="20000"/>
    <n v="10"/>
    <x v="0"/>
    <x v="0"/>
    <n v="3"/>
    <x v="1"/>
    <s v="High"/>
    <s v="No"/>
  </r>
  <r>
    <n v="28"/>
    <n v="35"/>
    <x v="0"/>
    <x v="12"/>
    <s v="Delivery and Postnatal Care"/>
    <n v="12000"/>
    <n v="4"/>
    <x v="0"/>
    <x v="0"/>
    <n v="4"/>
    <x v="2"/>
    <s v="High"/>
    <s v="Yes"/>
  </r>
  <r>
    <n v="29"/>
    <n v="50"/>
    <x v="1"/>
    <x v="13"/>
    <s v="Lithotripsy"/>
    <n v="6000"/>
    <n v="5"/>
    <x v="0"/>
    <x v="0"/>
    <n v="3"/>
    <x v="0"/>
    <s v="Medium"/>
    <s v="No"/>
  </r>
  <r>
    <n v="30"/>
    <n v="60"/>
    <x v="0"/>
    <x v="14"/>
    <s v="Physical Therapy and Pain Management"/>
    <n v="4000"/>
    <n v="6"/>
    <x v="0"/>
    <x v="1"/>
    <n v="4"/>
    <x v="1"/>
    <s v="Medium"/>
    <s v="Yes"/>
  </r>
  <r>
    <n v="31"/>
    <n v="48"/>
    <x v="0"/>
    <x v="0"/>
    <s v="Angioplasty"/>
    <n v="15000"/>
    <n v="7"/>
    <x v="1"/>
    <x v="0"/>
    <n v="4"/>
    <x v="0"/>
    <s v="High"/>
    <s v="Yes"/>
  </r>
  <r>
    <n v="32"/>
    <n v="65"/>
    <x v="1"/>
    <x v="1"/>
    <s v="Insulin Therapy"/>
    <n v="2000"/>
    <n v="5"/>
    <x v="0"/>
    <x v="1"/>
    <n v="3"/>
    <x v="1"/>
    <s v="Medium"/>
    <s v="No"/>
  </r>
  <r>
    <n v="33"/>
    <n v="30"/>
    <x v="0"/>
    <x v="2"/>
    <s v="X-Ray and Splint"/>
    <n v="500"/>
    <n v="3"/>
    <x v="0"/>
    <x v="0"/>
    <n v="5"/>
    <x v="2"/>
    <s v="Low"/>
    <s v="Yes"/>
  </r>
  <r>
    <n v="34"/>
    <n v="70"/>
    <x v="1"/>
    <x v="3"/>
    <s v="CT Scan and Medication"/>
    <n v="10000"/>
    <n v="9"/>
    <x v="1"/>
    <x v="1"/>
    <n v="2"/>
    <x v="1"/>
    <s v="High"/>
    <s v="No"/>
  </r>
  <r>
    <n v="35"/>
    <n v="55"/>
    <x v="0"/>
    <x v="4"/>
    <s v="Surgery and Chemotherapy"/>
    <n v="25000"/>
    <n v="12"/>
    <x v="0"/>
    <x v="0"/>
    <n v="4"/>
    <x v="0"/>
    <s v="High"/>
    <s v="Yes"/>
  </r>
  <r>
    <n v="36"/>
    <n v="68"/>
    <x v="1"/>
    <x v="5"/>
    <s v="Medication and Counseling"/>
    <n v="1000"/>
    <n v="4"/>
    <x v="0"/>
    <x v="1"/>
    <n v="4"/>
    <x v="1"/>
    <s v="Low"/>
    <s v="Yes"/>
  </r>
  <r>
    <n v="37"/>
    <n v="45"/>
    <x v="0"/>
    <x v="6"/>
    <s v="Appendectomy"/>
    <n v="8000"/>
    <n v="6"/>
    <x v="0"/>
    <x v="0"/>
    <n v="3"/>
    <x v="0"/>
    <s v="Medium"/>
    <s v="No"/>
  </r>
  <r>
    <n v="38"/>
    <n v="40"/>
    <x v="1"/>
    <x v="7"/>
    <s v="Cast and Physical Therapy"/>
    <n v="3000"/>
    <n v="8"/>
    <x v="0"/>
    <x v="0"/>
    <n v="4"/>
    <x v="2"/>
    <s v="Medium"/>
    <s v="Yes"/>
  </r>
  <r>
    <n v="39"/>
    <n v="78"/>
    <x v="0"/>
    <x v="8"/>
    <s v="Cardiac Catheterization"/>
    <n v="18000"/>
    <n v="10"/>
    <x v="1"/>
    <x v="1"/>
    <n v="2"/>
    <x v="3"/>
    <s v="High"/>
    <s v="No"/>
  </r>
  <r>
    <n v="40"/>
    <n v="25"/>
    <x v="1"/>
    <x v="9"/>
    <s v="Epinephrine Injection"/>
    <n v="100"/>
    <n v="3"/>
    <x v="0"/>
    <x v="0"/>
    <n v="5"/>
    <x v="4"/>
    <s v="Low"/>
    <s v="Yes"/>
  </r>
  <r>
    <n v="41"/>
    <n v="52"/>
    <x v="0"/>
    <x v="10"/>
    <s v="Antibiotics and Rest"/>
    <n v="800"/>
    <n v="4"/>
    <x v="0"/>
    <x v="1"/>
    <n v="4"/>
    <x v="0"/>
    <s v="Low"/>
    <s v="Yes"/>
  </r>
  <r>
    <n v="42"/>
    <n v="58"/>
    <x v="1"/>
    <x v="11"/>
    <s v="Radiation Therapy"/>
    <n v="20000"/>
    <n v="11"/>
    <x v="0"/>
    <x v="0"/>
    <n v="3"/>
    <x v="0"/>
    <s v="High"/>
    <s v="No"/>
  </r>
  <r>
    <n v="43"/>
    <n v="32"/>
    <x v="0"/>
    <x v="12"/>
    <s v="Delivery and Postnatal Care"/>
    <n v="12000"/>
    <n v="5"/>
    <x v="0"/>
    <x v="0"/>
    <n v="4"/>
    <x v="2"/>
    <s v="High"/>
    <s v="Yes"/>
  </r>
  <r>
    <n v="44"/>
    <n v="55"/>
    <x v="1"/>
    <x v="13"/>
    <s v="Lithotripsy"/>
    <n v="6000"/>
    <n v="6"/>
    <x v="0"/>
    <x v="0"/>
    <n v="3"/>
    <x v="0"/>
    <s v="Medium"/>
    <s v="No"/>
  </r>
  <r>
    <n v="45"/>
    <n v="65"/>
    <x v="0"/>
    <x v="14"/>
    <s v="Physical Therapy and Pain Management"/>
    <n v="4000"/>
    <n v="7"/>
    <x v="0"/>
    <x v="1"/>
    <n v="4"/>
    <x v="1"/>
    <s v="Medium"/>
    <s v="Yes"/>
  </r>
  <r>
    <n v="46"/>
    <n v="55"/>
    <x v="0"/>
    <x v="0"/>
    <s v="Angioplasty"/>
    <n v="15000"/>
    <n v="8"/>
    <x v="1"/>
    <x v="0"/>
    <n v="3"/>
    <x v="0"/>
    <s v="High"/>
    <s v="No"/>
  </r>
  <r>
    <n v="47"/>
    <n v="62"/>
    <x v="1"/>
    <x v="1"/>
    <s v="Insulin Therapy"/>
    <n v="2000"/>
    <n v="6"/>
    <x v="0"/>
    <x v="1"/>
    <n v="4"/>
    <x v="1"/>
    <s v="Medium"/>
    <s v="Yes"/>
  </r>
  <r>
    <n v="48"/>
    <n v="35"/>
    <x v="0"/>
    <x v="2"/>
    <s v="X-Ray and Splint"/>
    <n v="500"/>
    <n v="4"/>
    <x v="1"/>
    <x v="0"/>
    <n v="5"/>
    <x v="2"/>
    <s v="Low"/>
    <s v="Yes"/>
  </r>
  <r>
    <n v="49"/>
    <n v="78"/>
    <x v="1"/>
    <x v="3"/>
    <s v="CT Scan and Medication"/>
    <n v="10000"/>
    <n v="10"/>
    <x v="0"/>
    <x v="1"/>
    <n v="2"/>
    <x v="3"/>
    <s v="High"/>
    <s v="No"/>
  </r>
  <r>
    <n v="50"/>
    <n v="53"/>
    <x v="0"/>
    <x v="4"/>
    <s v="Surgery and Chemotherapy"/>
    <n v="25000"/>
    <n v="13"/>
    <x v="1"/>
    <x v="0"/>
    <n v="4"/>
    <x v="0"/>
    <s v="High"/>
    <s v="Yes"/>
  </r>
  <r>
    <n v="51"/>
    <n v="72"/>
    <x v="1"/>
    <x v="5"/>
    <s v="Medication and Counseling"/>
    <n v="1000"/>
    <n v="5"/>
    <x v="0"/>
    <x v="1"/>
    <n v="4"/>
    <x v="1"/>
    <s v="Low"/>
    <s v="Yes"/>
  </r>
  <r>
    <n v="52"/>
    <n v="60"/>
    <x v="0"/>
    <x v="6"/>
    <s v="Appendectomy"/>
    <n v="8000"/>
    <n v="7"/>
    <x v="1"/>
    <x v="0"/>
    <n v="3"/>
    <x v="1"/>
    <s v="Medium"/>
    <s v="No"/>
  </r>
  <r>
    <n v="53"/>
    <n v="45"/>
    <x v="1"/>
    <x v="7"/>
    <s v="Cast and Physical Therapy"/>
    <n v="3000"/>
    <n v="9"/>
    <x v="0"/>
    <x v="0"/>
    <n v="4"/>
    <x v="0"/>
    <s v="Medium"/>
    <s v="Yes"/>
  </r>
  <r>
    <n v="54"/>
    <n v="75"/>
    <x v="0"/>
    <x v="8"/>
    <s v="Cardiac Catheterization"/>
    <n v="18000"/>
    <n v="11"/>
    <x v="1"/>
    <x v="1"/>
    <n v="2"/>
    <x v="3"/>
    <s v="High"/>
    <s v="No"/>
  </r>
  <r>
    <n v="55"/>
    <n v="28"/>
    <x v="1"/>
    <x v="9"/>
    <s v="Epinephrine Injection"/>
    <n v="100"/>
    <n v="4"/>
    <x v="0"/>
    <x v="0"/>
    <n v="5"/>
    <x v="4"/>
    <s v="Low"/>
    <s v="Yes"/>
  </r>
  <r>
    <n v="56"/>
    <n v="52"/>
    <x v="0"/>
    <x v="10"/>
    <s v="Antibiotics and Rest"/>
    <n v="800"/>
    <n v="5"/>
    <x v="0"/>
    <x v="1"/>
    <n v="4"/>
    <x v="0"/>
    <s v="Low"/>
    <s v="Yes"/>
  </r>
  <r>
    <n v="57"/>
    <n v="67"/>
    <x v="1"/>
    <x v="11"/>
    <s v="Radiation Therapy"/>
    <n v="20000"/>
    <n v="12"/>
    <x v="0"/>
    <x v="0"/>
    <n v="3"/>
    <x v="1"/>
    <s v="High"/>
    <s v="No"/>
  </r>
  <r>
    <n v="58"/>
    <n v="35"/>
    <x v="0"/>
    <x v="12"/>
    <s v="Delivery and Postnatal Care"/>
    <n v="12000"/>
    <n v="6"/>
    <x v="0"/>
    <x v="0"/>
    <n v="4"/>
    <x v="2"/>
    <s v="High"/>
    <s v="Yes"/>
  </r>
  <r>
    <n v="59"/>
    <n v="50"/>
    <x v="1"/>
    <x v="13"/>
    <s v="Lithotripsy"/>
    <n v="6000"/>
    <n v="7"/>
    <x v="0"/>
    <x v="0"/>
    <n v="3"/>
    <x v="0"/>
    <s v="Medium"/>
    <s v="No"/>
  </r>
  <r>
    <n v="61"/>
    <n v="48"/>
    <x v="0"/>
    <x v="0"/>
    <s v="Angioplasty"/>
    <n v="15000"/>
    <n v="9"/>
    <x v="1"/>
    <x v="0"/>
    <n v="4"/>
    <x v="0"/>
    <s v="High"/>
    <s v="Yes"/>
  </r>
  <r>
    <n v="62"/>
    <n v="65"/>
    <x v="1"/>
    <x v="1"/>
    <s v="Insulin Therapy"/>
    <n v="2000"/>
    <n v="7"/>
    <x v="0"/>
    <x v="1"/>
    <n v="3"/>
    <x v="1"/>
    <s v="Medium"/>
    <s v="No"/>
  </r>
  <r>
    <n v="63"/>
    <n v="30"/>
    <x v="0"/>
    <x v="2"/>
    <s v="X-Ray and Splint"/>
    <n v="500"/>
    <n v="5"/>
    <x v="0"/>
    <x v="0"/>
    <n v="5"/>
    <x v="2"/>
    <s v="Low"/>
    <s v="Yes"/>
  </r>
  <r>
    <n v="64"/>
    <n v="70"/>
    <x v="1"/>
    <x v="3"/>
    <s v="CT Scan and Medication"/>
    <n v="10000"/>
    <n v="11"/>
    <x v="1"/>
    <x v="1"/>
    <n v="2"/>
    <x v="1"/>
    <s v="High"/>
    <s v="No"/>
  </r>
  <r>
    <n v="65"/>
    <n v="55"/>
    <x v="0"/>
    <x v="4"/>
    <s v="Surgery and Chemotherapy"/>
    <n v="25000"/>
    <n v="14"/>
    <x v="0"/>
    <x v="0"/>
    <n v="4"/>
    <x v="0"/>
    <s v="High"/>
    <s v="Yes"/>
  </r>
  <r>
    <n v="66"/>
    <n v="68"/>
    <x v="1"/>
    <x v="5"/>
    <s v="Medication and Counseling"/>
    <n v="1000"/>
    <n v="6"/>
    <x v="0"/>
    <x v="1"/>
    <n v="4"/>
    <x v="1"/>
    <s v="Low"/>
    <s v="Yes"/>
  </r>
  <r>
    <n v="67"/>
    <n v="45"/>
    <x v="0"/>
    <x v="6"/>
    <s v="Appendectomy"/>
    <n v="8000"/>
    <n v="8"/>
    <x v="0"/>
    <x v="0"/>
    <n v="3"/>
    <x v="0"/>
    <s v="Medium"/>
    <s v="No"/>
  </r>
  <r>
    <n v="68"/>
    <n v="40"/>
    <x v="1"/>
    <x v="7"/>
    <s v="Cast and Physical Therapy"/>
    <n v="3000"/>
    <n v="10"/>
    <x v="0"/>
    <x v="0"/>
    <n v="4"/>
    <x v="2"/>
    <s v="Medium"/>
    <s v="Yes"/>
  </r>
  <r>
    <n v="69"/>
    <n v="78"/>
    <x v="0"/>
    <x v="8"/>
    <s v="Cardiac Catheterization"/>
    <n v="18000"/>
    <n v="12"/>
    <x v="1"/>
    <x v="1"/>
    <n v="2"/>
    <x v="3"/>
    <s v="High"/>
    <s v="No"/>
  </r>
  <r>
    <n v="70"/>
    <n v="25"/>
    <x v="1"/>
    <x v="9"/>
    <s v="Epinephrine Injection"/>
    <n v="100"/>
    <n v="5"/>
    <x v="0"/>
    <x v="0"/>
    <n v="5"/>
    <x v="4"/>
    <s v="Low"/>
    <s v="Yes"/>
  </r>
  <r>
    <n v="71"/>
    <n v="52"/>
    <x v="0"/>
    <x v="10"/>
    <s v="Antibiotics and Rest"/>
    <n v="800"/>
    <n v="6"/>
    <x v="0"/>
    <x v="1"/>
    <n v="4"/>
    <x v="0"/>
    <s v="Low"/>
    <s v="Yes"/>
  </r>
  <r>
    <n v="72"/>
    <n v="58"/>
    <x v="1"/>
    <x v="11"/>
    <s v="Radiation Therapy"/>
    <n v="20000"/>
    <n v="13"/>
    <x v="0"/>
    <x v="0"/>
    <n v="3"/>
    <x v="0"/>
    <s v="High"/>
    <s v="No"/>
  </r>
  <r>
    <n v="73"/>
    <n v="32"/>
    <x v="0"/>
    <x v="12"/>
    <s v="Delivery and Postnatal Care"/>
    <n v="12000"/>
    <n v="7"/>
    <x v="0"/>
    <x v="0"/>
    <n v="4"/>
    <x v="2"/>
    <s v="High"/>
    <s v="Yes"/>
  </r>
  <r>
    <n v="74"/>
    <n v="55"/>
    <x v="1"/>
    <x v="13"/>
    <s v="Lithotripsy"/>
    <n v="6000"/>
    <n v="8"/>
    <x v="0"/>
    <x v="0"/>
    <n v="3"/>
    <x v="0"/>
    <s v="Medium"/>
    <s v="No"/>
  </r>
  <r>
    <n v="75"/>
    <n v="65"/>
    <x v="0"/>
    <x v="14"/>
    <s v="Physical Therapy and Pain Management"/>
    <n v="4000"/>
    <n v="9"/>
    <x v="0"/>
    <x v="1"/>
    <n v="4"/>
    <x v="1"/>
    <s v="Medium"/>
    <s v="Yes"/>
  </r>
  <r>
    <n v="76"/>
    <n v="55"/>
    <x v="0"/>
    <x v="0"/>
    <s v="Angioplasty"/>
    <n v="15000"/>
    <n v="10"/>
    <x v="1"/>
    <x v="0"/>
    <n v="3"/>
    <x v="0"/>
    <s v="High"/>
    <s v="No"/>
  </r>
  <r>
    <n v="77"/>
    <n v="62"/>
    <x v="1"/>
    <x v="1"/>
    <s v="Insulin Therapy"/>
    <n v="2000"/>
    <n v="8"/>
    <x v="0"/>
    <x v="1"/>
    <n v="4"/>
    <x v="1"/>
    <s v="Medium"/>
    <s v="Yes"/>
  </r>
  <r>
    <n v="78"/>
    <n v="35"/>
    <x v="0"/>
    <x v="2"/>
    <s v="X-Ray and Splint"/>
    <n v="500"/>
    <n v="6"/>
    <x v="1"/>
    <x v="0"/>
    <n v="5"/>
    <x v="2"/>
    <s v="Low"/>
    <s v="Yes"/>
  </r>
  <r>
    <n v="79"/>
    <n v="78"/>
    <x v="1"/>
    <x v="3"/>
    <s v="CT Scan and Medication"/>
    <n v="10000"/>
    <n v="12"/>
    <x v="0"/>
    <x v="1"/>
    <n v="2"/>
    <x v="3"/>
    <s v="High"/>
    <s v="No"/>
  </r>
  <r>
    <n v="80"/>
    <n v="53"/>
    <x v="0"/>
    <x v="4"/>
    <s v="Surgery and Chemotherapy"/>
    <n v="25000"/>
    <n v="15"/>
    <x v="1"/>
    <x v="0"/>
    <n v="4"/>
    <x v="0"/>
    <s v="High"/>
    <s v="Yes"/>
  </r>
  <r>
    <n v="81"/>
    <n v="72"/>
    <x v="1"/>
    <x v="5"/>
    <s v="Medication and Counseling"/>
    <n v="1000"/>
    <n v="7"/>
    <x v="0"/>
    <x v="1"/>
    <n v="4"/>
    <x v="1"/>
    <s v="Low"/>
    <s v="Yes"/>
  </r>
  <r>
    <n v="82"/>
    <n v="60"/>
    <x v="0"/>
    <x v="6"/>
    <s v="Appendectomy"/>
    <n v="8000"/>
    <n v="9"/>
    <x v="1"/>
    <x v="0"/>
    <n v="3"/>
    <x v="1"/>
    <s v="Medium"/>
    <s v="No"/>
  </r>
  <r>
    <n v="83"/>
    <n v="45"/>
    <x v="1"/>
    <x v="7"/>
    <s v="Cast and Physical Therapy"/>
    <n v="3000"/>
    <n v="11"/>
    <x v="0"/>
    <x v="0"/>
    <n v="4"/>
    <x v="0"/>
    <s v="Medium"/>
    <s v="Yes"/>
  </r>
  <r>
    <n v="84"/>
    <n v="75"/>
    <x v="0"/>
    <x v="8"/>
    <s v="Cardiac Catheterization"/>
    <n v="18000"/>
    <n v="13"/>
    <x v="1"/>
    <x v="1"/>
    <n v="2"/>
    <x v="3"/>
    <s v="High"/>
    <s v="No"/>
  </r>
  <r>
    <n v="85"/>
    <n v="28"/>
    <x v="1"/>
    <x v="9"/>
    <s v="Epinephrine Injection"/>
    <n v="100"/>
    <n v="6"/>
    <x v="0"/>
    <x v="0"/>
    <n v="5"/>
    <x v="4"/>
    <s v="Low"/>
    <s v="Yes"/>
  </r>
  <r>
    <n v="86"/>
    <n v="52"/>
    <x v="0"/>
    <x v="10"/>
    <s v="Antibiotics and Rest"/>
    <n v="800"/>
    <n v="7"/>
    <x v="0"/>
    <x v="1"/>
    <n v="4"/>
    <x v="0"/>
    <s v="Low"/>
    <s v="Yes"/>
  </r>
  <r>
    <n v="87"/>
    <n v="67"/>
    <x v="1"/>
    <x v="11"/>
    <s v="Radiation Therapy"/>
    <n v="20000"/>
    <n v="14"/>
    <x v="0"/>
    <x v="0"/>
    <n v="3"/>
    <x v="1"/>
    <s v="High"/>
    <s v="No"/>
  </r>
  <r>
    <n v="88"/>
    <n v="35"/>
    <x v="0"/>
    <x v="12"/>
    <s v="Delivery and Postnatal Care"/>
    <n v="12000"/>
    <n v="8"/>
    <x v="0"/>
    <x v="0"/>
    <n v="4"/>
    <x v="2"/>
    <s v="High"/>
    <s v="Yes"/>
  </r>
  <r>
    <n v="89"/>
    <n v="50"/>
    <x v="1"/>
    <x v="13"/>
    <s v="Lithotripsy"/>
    <n v="6000"/>
    <n v="9"/>
    <x v="0"/>
    <x v="0"/>
    <n v="3"/>
    <x v="0"/>
    <s v="Medium"/>
    <s v="No"/>
  </r>
  <r>
    <n v="90"/>
    <n v="60"/>
    <x v="0"/>
    <x v="14"/>
    <s v="Physical Therapy and Pain Management"/>
    <n v="4000"/>
    <n v="10"/>
    <x v="0"/>
    <x v="1"/>
    <n v="4"/>
    <x v="1"/>
    <s v="Medium"/>
    <s v="Yes"/>
  </r>
  <r>
    <n v="91"/>
    <n v="48"/>
    <x v="0"/>
    <x v="0"/>
    <s v="Angioplasty"/>
    <n v="15000"/>
    <n v="11"/>
    <x v="1"/>
    <x v="0"/>
    <n v="4"/>
    <x v="0"/>
    <s v="High"/>
    <s v="Yes"/>
  </r>
  <r>
    <n v="92"/>
    <n v="65"/>
    <x v="1"/>
    <x v="1"/>
    <s v="Insulin Therapy"/>
    <n v="2000"/>
    <n v="9"/>
    <x v="0"/>
    <x v="1"/>
    <n v="3"/>
    <x v="1"/>
    <s v="Medium"/>
    <s v="No"/>
  </r>
  <r>
    <n v="93"/>
    <n v="30"/>
    <x v="0"/>
    <x v="2"/>
    <s v="X-Ray and Splint"/>
    <n v="500"/>
    <n v="7"/>
    <x v="0"/>
    <x v="0"/>
    <n v="5"/>
    <x v="2"/>
    <s v="Low"/>
    <s v="Yes"/>
  </r>
  <r>
    <n v="94"/>
    <n v="70"/>
    <x v="1"/>
    <x v="3"/>
    <s v="CT Scan and Medication"/>
    <n v="10000"/>
    <n v="13"/>
    <x v="1"/>
    <x v="1"/>
    <n v="2"/>
    <x v="1"/>
    <s v="High"/>
    <s v="No"/>
  </r>
  <r>
    <n v="95"/>
    <n v="55"/>
    <x v="0"/>
    <x v="4"/>
    <s v="Surgery and Chemotherapy"/>
    <n v="25000"/>
    <n v="16"/>
    <x v="0"/>
    <x v="0"/>
    <n v="4"/>
    <x v="0"/>
    <s v="High"/>
    <s v="Yes"/>
  </r>
  <r>
    <n v="96"/>
    <n v="68"/>
    <x v="1"/>
    <x v="5"/>
    <s v="Medication and Counseling"/>
    <n v="1000"/>
    <n v="8"/>
    <x v="0"/>
    <x v="1"/>
    <n v="4"/>
    <x v="1"/>
    <s v="Low"/>
    <s v="Yes"/>
  </r>
  <r>
    <n v="97"/>
    <n v="45"/>
    <x v="0"/>
    <x v="6"/>
    <s v="Appendectomy"/>
    <n v="8000"/>
    <n v="10"/>
    <x v="0"/>
    <x v="0"/>
    <n v="3"/>
    <x v="0"/>
    <s v="Medium"/>
    <s v="No"/>
  </r>
  <r>
    <n v="98"/>
    <n v="40"/>
    <x v="1"/>
    <x v="7"/>
    <s v="Cast and Physical Therapy"/>
    <n v="3000"/>
    <n v="12"/>
    <x v="0"/>
    <x v="0"/>
    <n v="4"/>
    <x v="2"/>
    <s v="Medium"/>
    <s v="Yes"/>
  </r>
  <r>
    <n v="99"/>
    <n v="78"/>
    <x v="0"/>
    <x v="8"/>
    <s v="Cardiac Catheterization"/>
    <n v="18000"/>
    <n v="14"/>
    <x v="1"/>
    <x v="1"/>
    <n v="2"/>
    <x v="3"/>
    <s v="High"/>
    <s v="No"/>
  </r>
  <r>
    <n v="100"/>
    <n v="25"/>
    <x v="1"/>
    <x v="9"/>
    <s v="Epinephrine Injection"/>
    <n v="100"/>
    <n v="7"/>
    <x v="0"/>
    <x v="0"/>
    <n v="5"/>
    <x v="4"/>
    <s v="Low"/>
    <s v="Yes"/>
  </r>
  <r>
    <n v="101"/>
    <n v="52"/>
    <x v="0"/>
    <x v="10"/>
    <s v="Antibiotics and Rest"/>
    <n v="800"/>
    <n v="8"/>
    <x v="0"/>
    <x v="1"/>
    <n v="4"/>
    <x v="0"/>
    <s v="Low"/>
    <s v="Yes"/>
  </r>
  <r>
    <n v="102"/>
    <n v="58"/>
    <x v="1"/>
    <x v="11"/>
    <s v="Radiation Therapy"/>
    <n v="20000"/>
    <n v="15"/>
    <x v="0"/>
    <x v="0"/>
    <n v="3"/>
    <x v="0"/>
    <s v="High"/>
    <s v="No"/>
  </r>
  <r>
    <n v="103"/>
    <n v="32"/>
    <x v="0"/>
    <x v="12"/>
    <s v="Delivery and Postnatal Care"/>
    <n v="12000"/>
    <n v="9"/>
    <x v="0"/>
    <x v="0"/>
    <n v="4"/>
    <x v="2"/>
    <s v="High"/>
    <s v="Yes"/>
  </r>
  <r>
    <n v="104"/>
    <n v="55"/>
    <x v="1"/>
    <x v="13"/>
    <s v="Lithotripsy"/>
    <n v="6000"/>
    <n v="10"/>
    <x v="0"/>
    <x v="0"/>
    <n v="3"/>
    <x v="0"/>
    <s v="Medium"/>
    <s v="No"/>
  </r>
  <r>
    <n v="105"/>
    <n v="65"/>
    <x v="0"/>
    <x v="14"/>
    <s v="Physical Therapy and Pain Management"/>
    <n v="4000"/>
    <n v="11"/>
    <x v="0"/>
    <x v="1"/>
    <n v="4"/>
    <x v="1"/>
    <s v="Medium"/>
    <s v="Yes"/>
  </r>
  <r>
    <n v="106"/>
    <n v="55"/>
    <x v="0"/>
    <x v="0"/>
    <s v="Angioplasty"/>
    <n v="15000"/>
    <n v="12"/>
    <x v="1"/>
    <x v="0"/>
    <n v="3"/>
    <x v="0"/>
    <s v="High"/>
    <s v="No"/>
  </r>
  <r>
    <n v="107"/>
    <n v="62"/>
    <x v="1"/>
    <x v="1"/>
    <s v="Insulin Therapy"/>
    <n v="2000"/>
    <n v="10"/>
    <x v="0"/>
    <x v="1"/>
    <n v="4"/>
    <x v="1"/>
    <s v="Medium"/>
    <s v="Yes"/>
  </r>
  <r>
    <n v="108"/>
    <n v="35"/>
    <x v="0"/>
    <x v="2"/>
    <s v="X-Ray and Splint"/>
    <n v="500"/>
    <n v="8"/>
    <x v="1"/>
    <x v="0"/>
    <n v="5"/>
    <x v="2"/>
    <s v="Low"/>
    <s v="Yes"/>
  </r>
  <r>
    <n v="109"/>
    <n v="78"/>
    <x v="1"/>
    <x v="3"/>
    <s v="CT Scan and Medication"/>
    <n v="10000"/>
    <n v="14"/>
    <x v="0"/>
    <x v="1"/>
    <n v="2"/>
    <x v="3"/>
    <s v="High"/>
    <s v="No"/>
  </r>
  <r>
    <n v="110"/>
    <n v="53"/>
    <x v="0"/>
    <x v="4"/>
    <s v="Surgery and Chemotherapy"/>
    <n v="25000"/>
    <n v="17"/>
    <x v="1"/>
    <x v="0"/>
    <n v="4"/>
    <x v="0"/>
    <s v="High"/>
    <s v="Yes"/>
  </r>
  <r>
    <n v="111"/>
    <n v="72"/>
    <x v="1"/>
    <x v="5"/>
    <s v="Medication and Counseling"/>
    <n v="1000"/>
    <n v="9"/>
    <x v="0"/>
    <x v="1"/>
    <n v="4"/>
    <x v="1"/>
    <s v="Low"/>
    <s v="Yes"/>
  </r>
  <r>
    <n v="112"/>
    <n v="60"/>
    <x v="0"/>
    <x v="6"/>
    <s v="Appendectomy"/>
    <n v="8000"/>
    <n v="11"/>
    <x v="1"/>
    <x v="0"/>
    <n v="3"/>
    <x v="1"/>
    <s v="Medium"/>
    <s v="No"/>
  </r>
  <r>
    <n v="113"/>
    <n v="45"/>
    <x v="1"/>
    <x v="7"/>
    <s v="Cast and Physical Therapy"/>
    <n v="3000"/>
    <n v="13"/>
    <x v="0"/>
    <x v="0"/>
    <n v="4"/>
    <x v="0"/>
    <s v="Medium"/>
    <s v="Yes"/>
  </r>
  <r>
    <n v="114"/>
    <n v="75"/>
    <x v="0"/>
    <x v="8"/>
    <s v="Cardiac Catheterization"/>
    <n v="18000"/>
    <n v="15"/>
    <x v="1"/>
    <x v="1"/>
    <n v="2"/>
    <x v="3"/>
    <s v="High"/>
    <s v="No"/>
  </r>
  <r>
    <n v="115"/>
    <n v="28"/>
    <x v="1"/>
    <x v="9"/>
    <s v="Epinephrine Injection"/>
    <n v="100"/>
    <n v="8"/>
    <x v="0"/>
    <x v="0"/>
    <n v="5"/>
    <x v="4"/>
    <s v="Low"/>
    <s v="Yes"/>
  </r>
  <r>
    <n v="116"/>
    <n v="52"/>
    <x v="0"/>
    <x v="10"/>
    <s v="Antibiotics and Rest"/>
    <n v="800"/>
    <n v="9"/>
    <x v="0"/>
    <x v="1"/>
    <n v="4"/>
    <x v="0"/>
    <s v="Low"/>
    <s v="Yes"/>
  </r>
  <r>
    <n v="117"/>
    <n v="67"/>
    <x v="1"/>
    <x v="11"/>
    <s v="Radiation Therapy"/>
    <n v="20000"/>
    <n v="16"/>
    <x v="0"/>
    <x v="0"/>
    <n v="3"/>
    <x v="1"/>
    <s v="High"/>
    <s v="No"/>
  </r>
  <r>
    <n v="118"/>
    <n v="35"/>
    <x v="0"/>
    <x v="12"/>
    <s v="Delivery and Postnatal Care"/>
    <n v="12000"/>
    <n v="10"/>
    <x v="0"/>
    <x v="0"/>
    <n v="4"/>
    <x v="2"/>
    <s v="High"/>
    <s v="Yes"/>
  </r>
  <r>
    <n v="119"/>
    <n v="50"/>
    <x v="1"/>
    <x v="13"/>
    <s v="Lithotripsy"/>
    <n v="6000"/>
    <n v="11"/>
    <x v="0"/>
    <x v="0"/>
    <n v="3"/>
    <x v="0"/>
    <s v="Medium"/>
    <s v="No"/>
  </r>
  <r>
    <n v="120"/>
    <n v="60"/>
    <x v="0"/>
    <x v="14"/>
    <s v="Physical Therapy and Pain Management"/>
    <n v="4000"/>
    <n v="12"/>
    <x v="0"/>
    <x v="1"/>
    <n v="4"/>
    <x v="1"/>
    <s v="Medium"/>
    <s v="Yes"/>
  </r>
  <r>
    <n v="122"/>
    <n v="65"/>
    <x v="1"/>
    <x v="1"/>
    <s v="Insulin Therapy"/>
    <n v="2000"/>
    <n v="11"/>
    <x v="0"/>
    <x v="1"/>
    <n v="3"/>
    <x v="1"/>
    <s v="Medium"/>
    <s v="No"/>
  </r>
  <r>
    <n v="123"/>
    <n v="30"/>
    <x v="0"/>
    <x v="2"/>
    <s v="X-Ray and Splint"/>
    <n v="500"/>
    <n v="9"/>
    <x v="0"/>
    <x v="0"/>
    <n v="5"/>
    <x v="2"/>
    <s v="Low"/>
    <s v="Yes"/>
  </r>
  <r>
    <n v="124"/>
    <n v="70"/>
    <x v="1"/>
    <x v="3"/>
    <s v="CT Scan and Medication"/>
    <n v="10000"/>
    <n v="15"/>
    <x v="1"/>
    <x v="1"/>
    <n v="2"/>
    <x v="1"/>
    <s v="High"/>
    <s v="No"/>
  </r>
  <r>
    <n v="125"/>
    <n v="55"/>
    <x v="0"/>
    <x v="4"/>
    <s v="Surgery and Chemotherapy"/>
    <n v="25000"/>
    <n v="18"/>
    <x v="0"/>
    <x v="0"/>
    <n v="4"/>
    <x v="0"/>
    <s v="High"/>
    <s v="Yes"/>
  </r>
  <r>
    <n v="126"/>
    <n v="68"/>
    <x v="1"/>
    <x v="5"/>
    <s v="Medication and Counseling"/>
    <n v="1000"/>
    <n v="10"/>
    <x v="0"/>
    <x v="1"/>
    <n v="4"/>
    <x v="1"/>
    <s v="Low"/>
    <s v="Yes"/>
  </r>
  <r>
    <n v="127"/>
    <n v="45"/>
    <x v="0"/>
    <x v="6"/>
    <s v="Appendectomy"/>
    <n v="8000"/>
    <n v="12"/>
    <x v="0"/>
    <x v="0"/>
    <n v="3"/>
    <x v="0"/>
    <s v="Medium"/>
    <s v="No"/>
  </r>
  <r>
    <n v="128"/>
    <n v="40"/>
    <x v="1"/>
    <x v="7"/>
    <s v="Cast and Physical Therapy"/>
    <n v="3000"/>
    <n v="14"/>
    <x v="0"/>
    <x v="0"/>
    <n v="4"/>
    <x v="2"/>
    <s v="Medium"/>
    <s v="Yes"/>
  </r>
  <r>
    <n v="129"/>
    <n v="78"/>
    <x v="0"/>
    <x v="8"/>
    <s v="Cardiac Catheterization"/>
    <n v="18000"/>
    <n v="16"/>
    <x v="1"/>
    <x v="1"/>
    <n v="2"/>
    <x v="3"/>
    <s v="High"/>
    <s v="No"/>
  </r>
  <r>
    <n v="130"/>
    <n v="25"/>
    <x v="1"/>
    <x v="9"/>
    <s v="Epinephrine Injection"/>
    <n v="100"/>
    <n v="9"/>
    <x v="0"/>
    <x v="0"/>
    <n v="5"/>
    <x v="4"/>
    <s v="Low"/>
    <s v="Yes"/>
  </r>
  <r>
    <n v="131"/>
    <n v="52"/>
    <x v="0"/>
    <x v="10"/>
    <s v="Antibiotics and Rest"/>
    <n v="800"/>
    <n v="10"/>
    <x v="0"/>
    <x v="1"/>
    <n v="4"/>
    <x v="0"/>
    <s v="Low"/>
    <s v="Yes"/>
  </r>
  <r>
    <n v="132"/>
    <n v="58"/>
    <x v="1"/>
    <x v="11"/>
    <s v="Radiation Therapy"/>
    <n v="20000"/>
    <n v="17"/>
    <x v="0"/>
    <x v="0"/>
    <n v="3"/>
    <x v="0"/>
    <s v="High"/>
    <s v="No"/>
  </r>
  <r>
    <n v="133"/>
    <n v="32"/>
    <x v="0"/>
    <x v="12"/>
    <s v="Delivery and Postnatal Care"/>
    <n v="12000"/>
    <n v="11"/>
    <x v="0"/>
    <x v="0"/>
    <n v="4"/>
    <x v="2"/>
    <s v="High"/>
    <s v="Yes"/>
  </r>
  <r>
    <n v="134"/>
    <n v="55"/>
    <x v="1"/>
    <x v="13"/>
    <s v="Lithotripsy"/>
    <n v="6000"/>
    <n v="12"/>
    <x v="0"/>
    <x v="0"/>
    <n v="3"/>
    <x v="0"/>
    <s v="Medium"/>
    <s v="No"/>
  </r>
  <r>
    <n v="135"/>
    <n v="65"/>
    <x v="0"/>
    <x v="14"/>
    <s v="Physical Therapy and Pain Management"/>
    <n v="4000"/>
    <n v="13"/>
    <x v="0"/>
    <x v="1"/>
    <n v="4"/>
    <x v="1"/>
    <s v="Medium"/>
    <s v="Yes"/>
  </r>
  <r>
    <n v="136"/>
    <n v="55"/>
    <x v="0"/>
    <x v="0"/>
    <s v="Angioplasty"/>
    <n v="15000"/>
    <n v="14"/>
    <x v="1"/>
    <x v="0"/>
    <n v="3"/>
    <x v="0"/>
    <s v="High"/>
    <s v="No"/>
  </r>
  <r>
    <n v="137"/>
    <n v="62"/>
    <x v="1"/>
    <x v="1"/>
    <s v="Insulin Therapy"/>
    <n v="2000"/>
    <n v="12"/>
    <x v="0"/>
    <x v="1"/>
    <n v="4"/>
    <x v="1"/>
    <s v="Medium"/>
    <s v="Yes"/>
  </r>
  <r>
    <n v="138"/>
    <n v="35"/>
    <x v="0"/>
    <x v="2"/>
    <s v="X-Ray and Splint"/>
    <n v="500"/>
    <n v="10"/>
    <x v="1"/>
    <x v="0"/>
    <n v="5"/>
    <x v="2"/>
    <s v="Low"/>
    <s v="Yes"/>
  </r>
  <r>
    <n v="139"/>
    <n v="78"/>
    <x v="1"/>
    <x v="3"/>
    <s v="CT Scan and Medication"/>
    <n v="10000"/>
    <n v="16"/>
    <x v="0"/>
    <x v="1"/>
    <n v="2"/>
    <x v="3"/>
    <s v="High"/>
    <s v="No"/>
  </r>
  <r>
    <n v="140"/>
    <n v="53"/>
    <x v="0"/>
    <x v="4"/>
    <s v="Surgery and Chemotherapy"/>
    <n v="25000"/>
    <n v="19"/>
    <x v="1"/>
    <x v="0"/>
    <n v="4"/>
    <x v="0"/>
    <s v="High"/>
    <s v="Yes"/>
  </r>
  <r>
    <n v="141"/>
    <n v="72"/>
    <x v="1"/>
    <x v="5"/>
    <s v="Medication and Counseling"/>
    <n v="1000"/>
    <n v="11"/>
    <x v="0"/>
    <x v="1"/>
    <n v="4"/>
    <x v="1"/>
    <s v="Low"/>
    <s v="Yes"/>
  </r>
  <r>
    <n v="142"/>
    <n v="60"/>
    <x v="0"/>
    <x v="6"/>
    <s v="Appendectomy"/>
    <n v="8000"/>
    <n v="13"/>
    <x v="1"/>
    <x v="0"/>
    <n v="3"/>
    <x v="1"/>
    <s v="Medium"/>
    <s v="No"/>
  </r>
  <r>
    <n v="143"/>
    <n v="45"/>
    <x v="1"/>
    <x v="7"/>
    <s v="Cast and Physical Therapy"/>
    <n v="3000"/>
    <n v="15"/>
    <x v="0"/>
    <x v="0"/>
    <n v="4"/>
    <x v="0"/>
    <s v="Medium"/>
    <s v="Yes"/>
  </r>
  <r>
    <n v="144"/>
    <n v="75"/>
    <x v="0"/>
    <x v="8"/>
    <s v="Cardiac Catheterization"/>
    <n v="18000"/>
    <n v="17"/>
    <x v="1"/>
    <x v="1"/>
    <n v="2"/>
    <x v="3"/>
    <s v="High"/>
    <s v="No"/>
  </r>
  <r>
    <n v="145"/>
    <n v="28"/>
    <x v="1"/>
    <x v="9"/>
    <s v="Epinephrine Injection"/>
    <n v="100"/>
    <n v="10"/>
    <x v="0"/>
    <x v="0"/>
    <n v="5"/>
    <x v="4"/>
    <s v="Low"/>
    <s v="Yes"/>
  </r>
  <r>
    <n v="146"/>
    <n v="52"/>
    <x v="0"/>
    <x v="10"/>
    <s v="Antibiotics and Rest"/>
    <n v="800"/>
    <n v="11"/>
    <x v="0"/>
    <x v="1"/>
    <n v="4"/>
    <x v="0"/>
    <s v="Low"/>
    <s v="Yes"/>
  </r>
  <r>
    <n v="147"/>
    <n v="67"/>
    <x v="1"/>
    <x v="11"/>
    <s v="Radiation Therapy"/>
    <n v="20000"/>
    <n v="18"/>
    <x v="0"/>
    <x v="0"/>
    <n v="3"/>
    <x v="1"/>
    <s v="High"/>
    <s v="No"/>
  </r>
  <r>
    <n v="148"/>
    <n v="35"/>
    <x v="0"/>
    <x v="12"/>
    <s v="Delivery and Postnatal Care"/>
    <n v="12000"/>
    <n v="12"/>
    <x v="0"/>
    <x v="0"/>
    <n v="4"/>
    <x v="2"/>
    <s v="High"/>
    <s v="Yes"/>
  </r>
  <r>
    <n v="149"/>
    <n v="50"/>
    <x v="1"/>
    <x v="13"/>
    <s v="Lithotripsy"/>
    <n v="6000"/>
    <n v="13"/>
    <x v="0"/>
    <x v="0"/>
    <n v="3"/>
    <x v="0"/>
    <s v="Medium"/>
    <s v="No"/>
  </r>
  <r>
    <n v="150"/>
    <n v="60"/>
    <x v="0"/>
    <x v="14"/>
    <s v="Physical Therapy and Pain Management"/>
    <n v="4000"/>
    <n v="14"/>
    <x v="0"/>
    <x v="1"/>
    <n v="4"/>
    <x v="1"/>
    <s v="Medium"/>
    <s v="Yes"/>
  </r>
  <r>
    <n v="151"/>
    <n v="48"/>
    <x v="0"/>
    <x v="0"/>
    <s v="Angioplasty"/>
    <n v="15000"/>
    <n v="15"/>
    <x v="1"/>
    <x v="0"/>
    <n v="4"/>
    <x v="0"/>
    <s v="High"/>
    <s v="Yes"/>
  </r>
  <r>
    <n v="152"/>
    <n v="65"/>
    <x v="1"/>
    <x v="1"/>
    <s v="Insulin Therapy"/>
    <n v="2000"/>
    <n v="13"/>
    <x v="0"/>
    <x v="1"/>
    <n v="3"/>
    <x v="1"/>
    <s v="Medium"/>
    <s v="No"/>
  </r>
  <r>
    <n v="153"/>
    <n v="30"/>
    <x v="0"/>
    <x v="2"/>
    <s v="X-Ray and Splint"/>
    <n v="500"/>
    <n v="11"/>
    <x v="0"/>
    <x v="0"/>
    <n v="5"/>
    <x v="2"/>
    <s v="Low"/>
    <s v="Yes"/>
  </r>
  <r>
    <n v="154"/>
    <n v="70"/>
    <x v="1"/>
    <x v="3"/>
    <s v="CT Scan and Medication"/>
    <n v="10000"/>
    <n v="17"/>
    <x v="1"/>
    <x v="1"/>
    <n v="2"/>
    <x v="1"/>
    <s v="High"/>
    <s v="No"/>
  </r>
  <r>
    <n v="155"/>
    <n v="55"/>
    <x v="0"/>
    <x v="4"/>
    <s v="Surgery and Chemotherapy"/>
    <n v="25000"/>
    <n v="20"/>
    <x v="0"/>
    <x v="0"/>
    <n v="4"/>
    <x v="0"/>
    <s v="High"/>
    <s v="Yes"/>
  </r>
  <r>
    <n v="156"/>
    <n v="68"/>
    <x v="1"/>
    <x v="5"/>
    <s v="Medication and Counseling"/>
    <n v="1000"/>
    <n v="12"/>
    <x v="0"/>
    <x v="1"/>
    <n v="4"/>
    <x v="1"/>
    <s v="Low"/>
    <s v="Yes"/>
  </r>
  <r>
    <n v="157"/>
    <n v="45"/>
    <x v="0"/>
    <x v="6"/>
    <s v="Appendectomy"/>
    <n v="8000"/>
    <n v="14"/>
    <x v="0"/>
    <x v="0"/>
    <n v="3"/>
    <x v="0"/>
    <s v="Medium"/>
    <s v="No"/>
  </r>
  <r>
    <n v="158"/>
    <n v="40"/>
    <x v="1"/>
    <x v="7"/>
    <s v="Cast and Physical Therapy"/>
    <n v="3000"/>
    <n v="16"/>
    <x v="0"/>
    <x v="0"/>
    <n v="4"/>
    <x v="2"/>
    <s v="Medium"/>
    <s v="Yes"/>
  </r>
  <r>
    <n v="159"/>
    <n v="78"/>
    <x v="0"/>
    <x v="8"/>
    <s v="Cardiac Catheterization"/>
    <n v="18000"/>
    <n v="18"/>
    <x v="1"/>
    <x v="1"/>
    <n v="2"/>
    <x v="3"/>
    <s v="High"/>
    <s v="No"/>
  </r>
  <r>
    <n v="160"/>
    <n v="25"/>
    <x v="1"/>
    <x v="9"/>
    <s v="Epinephrine Injection"/>
    <n v="100"/>
    <n v="11"/>
    <x v="0"/>
    <x v="0"/>
    <n v="5"/>
    <x v="4"/>
    <s v="Low"/>
    <s v="Yes"/>
  </r>
  <r>
    <n v="161"/>
    <n v="52"/>
    <x v="0"/>
    <x v="10"/>
    <s v="Antibiotics and Rest"/>
    <n v="800"/>
    <n v="12"/>
    <x v="0"/>
    <x v="1"/>
    <n v="4"/>
    <x v="0"/>
    <s v="Low"/>
    <s v="Yes"/>
  </r>
  <r>
    <n v="162"/>
    <n v="58"/>
    <x v="1"/>
    <x v="11"/>
    <s v="Radiation Therapy"/>
    <n v="20000"/>
    <n v="19"/>
    <x v="0"/>
    <x v="0"/>
    <n v="3"/>
    <x v="0"/>
    <s v="High"/>
    <s v="No"/>
  </r>
  <r>
    <n v="163"/>
    <n v="32"/>
    <x v="0"/>
    <x v="12"/>
    <s v="Delivery and Postnatal Care"/>
    <n v="12000"/>
    <n v="13"/>
    <x v="0"/>
    <x v="0"/>
    <n v="4"/>
    <x v="2"/>
    <s v="High"/>
    <s v="Yes"/>
  </r>
  <r>
    <n v="164"/>
    <n v="55"/>
    <x v="1"/>
    <x v="13"/>
    <s v="Lithotripsy"/>
    <n v="6000"/>
    <n v="14"/>
    <x v="0"/>
    <x v="0"/>
    <n v="3"/>
    <x v="0"/>
    <s v="Medium"/>
    <s v="No"/>
  </r>
  <r>
    <n v="165"/>
    <n v="65"/>
    <x v="0"/>
    <x v="14"/>
    <s v="Physical Therapy and Pain Management"/>
    <n v="4000"/>
    <n v="15"/>
    <x v="0"/>
    <x v="1"/>
    <n v="4"/>
    <x v="1"/>
    <s v="Medium"/>
    <s v="Yes"/>
  </r>
  <r>
    <n v="166"/>
    <n v="55"/>
    <x v="0"/>
    <x v="0"/>
    <s v="Angioplasty"/>
    <n v="15000"/>
    <n v="16"/>
    <x v="1"/>
    <x v="0"/>
    <n v="3"/>
    <x v="0"/>
    <s v="High"/>
    <s v="No"/>
  </r>
  <r>
    <n v="167"/>
    <n v="62"/>
    <x v="1"/>
    <x v="1"/>
    <s v="Insulin Therapy"/>
    <n v="2000"/>
    <n v="14"/>
    <x v="0"/>
    <x v="1"/>
    <n v="4"/>
    <x v="1"/>
    <s v="Medium"/>
    <s v="Yes"/>
  </r>
  <r>
    <n v="168"/>
    <n v="35"/>
    <x v="0"/>
    <x v="2"/>
    <s v="X-Ray and Splint"/>
    <n v="500"/>
    <n v="12"/>
    <x v="1"/>
    <x v="0"/>
    <n v="5"/>
    <x v="2"/>
    <s v="Low"/>
    <s v="Yes"/>
  </r>
  <r>
    <n v="169"/>
    <n v="78"/>
    <x v="1"/>
    <x v="3"/>
    <s v="CT Scan and Medication"/>
    <n v="10000"/>
    <n v="18"/>
    <x v="0"/>
    <x v="1"/>
    <n v="2"/>
    <x v="3"/>
    <s v="High"/>
    <s v="No"/>
  </r>
  <r>
    <n v="170"/>
    <n v="53"/>
    <x v="0"/>
    <x v="4"/>
    <s v="Surgery and Chemotherapy"/>
    <n v="25000"/>
    <n v="21"/>
    <x v="1"/>
    <x v="0"/>
    <n v="4"/>
    <x v="0"/>
    <s v="High"/>
    <s v="Yes"/>
  </r>
  <r>
    <n v="171"/>
    <n v="72"/>
    <x v="1"/>
    <x v="5"/>
    <s v="Medication and Counseling"/>
    <n v="1000"/>
    <n v="13"/>
    <x v="0"/>
    <x v="1"/>
    <n v="4"/>
    <x v="1"/>
    <s v="Low"/>
    <s v="Yes"/>
  </r>
  <r>
    <n v="172"/>
    <n v="60"/>
    <x v="0"/>
    <x v="6"/>
    <s v="Appendectomy"/>
    <n v="8000"/>
    <n v="15"/>
    <x v="1"/>
    <x v="0"/>
    <n v="3"/>
    <x v="1"/>
    <s v="Medium"/>
    <s v="No"/>
  </r>
  <r>
    <n v="173"/>
    <n v="45"/>
    <x v="1"/>
    <x v="7"/>
    <s v="Cast and Physical Therapy"/>
    <n v="3000"/>
    <n v="17"/>
    <x v="0"/>
    <x v="0"/>
    <n v="4"/>
    <x v="0"/>
    <s v="Medium"/>
    <s v="Yes"/>
  </r>
  <r>
    <n v="174"/>
    <n v="75"/>
    <x v="0"/>
    <x v="8"/>
    <s v="Cardiac Catheterization"/>
    <n v="18000"/>
    <n v="19"/>
    <x v="1"/>
    <x v="1"/>
    <n v="2"/>
    <x v="3"/>
    <s v="High"/>
    <s v="No"/>
  </r>
  <r>
    <n v="175"/>
    <n v="28"/>
    <x v="1"/>
    <x v="9"/>
    <s v="Epinephrine Injection"/>
    <n v="100"/>
    <n v="12"/>
    <x v="0"/>
    <x v="0"/>
    <n v="5"/>
    <x v="4"/>
    <s v="Low"/>
    <s v="Yes"/>
  </r>
  <r>
    <n v="176"/>
    <n v="52"/>
    <x v="0"/>
    <x v="10"/>
    <s v="Antibiotics and Rest"/>
    <n v="800"/>
    <n v="13"/>
    <x v="0"/>
    <x v="1"/>
    <n v="4"/>
    <x v="0"/>
    <s v="Low"/>
    <s v="Yes"/>
  </r>
  <r>
    <n v="177"/>
    <n v="67"/>
    <x v="1"/>
    <x v="11"/>
    <s v="Radiation Therapy"/>
    <n v="20000"/>
    <n v="20"/>
    <x v="0"/>
    <x v="0"/>
    <n v="3"/>
    <x v="1"/>
    <s v="High"/>
    <s v="No"/>
  </r>
  <r>
    <n v="178"/>
    <n v="35"/>
    <x v="0"/>
    <x v="12"/>
    <s v="Delivery and Postnatal Care"/>
    <n v="12000"/>
    <n v="14"/>
    <x v="0"/>
    <x v="0"/>
    <n v="4"/>
    <x v="2"/>
    <s v="High"/>
    <s v="Yes"/>
  </r>
  <r>
    <n v="179"/>
    <n v="50"/>
    <x v="1"/>
    <x v="13"/>
    <s v="Lithotripsy"/>
    <n v="6000"/>
    <n v="15"/>
    <x v="0"/>
    <x v="0"/>
    <n v="3"/>
    <x v="0"/>
    <s v="Medium"/>
    <s v="No"/>
  </r>
  <r>
    <n v="180"/>
    <n v="60"/>
    <x v="0"/>
    <x v="14"/>
    <s v="Physical Therapy and Pain Management"/>
    <n v="4000"/>
    <n v="16"/>
    <x v="0"/>
    <x v="1"/>
    <n v="4"/>
    <x v="1"/>
    <s v="Medium"/>
    <s v="Yes"/>
  </r>
  <r>
    <n v="181"/>
    <n v="48"/>
    <x v="0"/>
    <x v="0"/>
    <s v="Angioplasty"/>
    <n v="15000"/>
    <n v="17"/>
    <x v="1"/>
    <x v="0"/>
    <n v="4"/>
    <x v="0"/>
    <s v="High"/>
    <s v="Yes"/>
  </r>
  <r>
    <n v="183"/>
    <n v="30"/>
    <x v="0"/>
    <x v="2"/>
    <s v="X-Ray and Splint"/>
    <n v="500"/>
    <n v="13"/>
    <x v="0"/>
    <x v="0"/>
    <n v="5"/>
    <x v="2"/>
    <s v="Low"/>
    <s v="Yes"/>
  </r>
  <r>
    <n v="184"/>
    <n v="70"/>
    <x v="1"/>
    <x v="3"/>
    <s v="CT Scan and Medication"/>
    <n v="10000"/>
    <n v="19"/>
    <x v="1"/>
    <x v="1"/>
    <n v="2"/>
    <x v="1"/>
    <s v="High"/>
    <s v="No"/>
  </r>
  <r>
    <n v="185"/>
    <n v="55"/>
    <x v="0"/>
    <x v="4"/>
    <s v="Surgery and Chemotherapy"/>
    <n v="25000"/>
    <n v="22"/>
    <x v="0"/>
    <x v="0"/>
    <n v="4"/>
    <x v="0"/>
    <s v="High"/>
    <s v="Yes"/>
  </r>
  <r>
    <n v="186"/>
    <n v="68"/>
    <x v="1"/>
    <x v="5"/>
    <s v="Medication and Counseling"/>
    <n v="1000"/>
    <n v="14"/>
    <x v="0"/>
    <x v="1"/>
    <n v="4"/>
    <x v="1"/>
    <s v="Low"/>
    <s v="Yes"/>
  </r>
  <r>
    <n v="187"/>
    <n v="45"/>
    <x v="0"/>
    <x v="6"/>
    <s v="Appendectomy"/>
    <n v="8000"/>
    <n v="16"/>
    <x v="0"/>
    <x v="0"/>
    <n v="3"/>
    <x v="0"/>
    <s v="Medium"/>
    <s v="No"/>
  </r>
  <r>
    <n v="188"/>
    <n v="40"/>
    <x v="1"/>
    <x v="7"/>
    <s v="Cast and Physical Therapy"/>
    <n v="3000"/>
    <n v="18"/>
    <x v="0"/>
    <x v="0"/>
    <n v="4"/>
    <x v="2"/>
    <s v="Medium"/>
    <s v="Yes"/>
  </r>
  <r>
    <n v="189"/>
    <n v="78"/>
    <x v="0"/>
    <x v="8"/>
    <s v="Cardiac Catheterization"/>
    <n v="18000"/>
    <n v="20"/>
    <x v="1"/>
    <x v="1"/>
    <n v="2"/>
    <x v="3"/>
    <s v="High"/>
    <s v="No"/>
  </r>
  <r>
    <n v="190"/>
    <n v="25"/>
    <x v="1"/>
    <x v="9"/>
    <s v="Epinephrine Injection"/>
    <n v="100"/>
    <n v="13"/>
    <x v="0"/>
    <x v="0"/>
    <n v="5"/>
    <x v="4"/>
    <s v="Low"/>
    <s v="Yes"/>
  </r>
  <r>
    <n v="191"/>
    <n v="52"/>
    <x v="0"/>
    <x v="10"/>
    <s v="Antibiotics and Rest"/>
    <n v="800"/>
    <n v="14"/>
    <x v="0"/>
    <x v="1"/>
    <n v="4"/>
    <x v="0"/>
    <s v="Low"/>
    <s v="Yes"/>
  </r>
  <r>
    <n v="192"/>
    <n v="58"/>
    <x v="1"/>
    <x v="11"/>
    <s v="Radiation Therapy"/>
    <n v="20000"/>
    <n v="21"/>
    <x v="0"/>
    <x v="0"/>
    <n v="3"/>
    <x v="0"/>
    <s v="High"/>
    <s v="No"/>
  </r>
  <r>
    <n v="193"/>
    <n v="32"/>
    <x v="0"/>
    <x v="12"/>
    <s v="Delivery and Postnatal Care"/>
    <n v="12000"/>
    <n v="15"/>
    <x v="0"/>
    <x v="0"/>
    <n v="4"/>
    <x v="2"/>
    <s v="High"/>
    <s v="Yes"/>
  </r>
  <r>
    <n v="194"/>
    <n v="55"/>
    <x v="1"/>
    <x v="13"/>
    <s v="Lithotripsy"/>
    <n v="6000"/>
    <n v="16"/>
    <x v="0"/>
    <x v="0"/>
    <n v="3"/>
    <x v="0"/>
    <s v="Medium"/>
    <s v="No"/>
  </r>
  <r>
    <n v="195"/>
    <n v="65"/>
    <x v="0"/>
    <x v="14"/>
    <s v="Physical Therapy and Pain Management"/>
    <n v="4000"/>
    <n v="17"/>
    <x v="0"/>
    <x v="1"/>
    <n v="4"/>
    <x v="1"/>
    <s v="Medium"/>
    <s v="Yes"/>
  </r>
  <r>
    <n v="196"/>
    <n v="55"/>
    <x v="0"/>
    <x v="0"/>
    <s v="Angioplasty"/>
    <n v="15000"/>
    <n v="18"/>
    <x v="1"/>
    <x v="0"/>
    <n v="3"/>
    <x v="0"/>
    <s v="High"/>
    <s v="No"/>
  </r>
  <r>
    <n v="197"/>
    <n v="62"/>
    <x v="1"/>
    <x v="1"/>
    <s v="Insulin Therapy"/>
    <n v="2000"/>
    <n v="16"/>
    <x v="0"/>
    <x v="1"/>
    <n v="4"/>
    <x v="1"/>
    <s v="Medium"/>
    <s v="Yes"/>
  </r>
  <r>
    <n v="198"/>
    <n v="35"/>
    <x v="0"/>
    <x v="2"/>
    <s v="X-Ray and Splint"/>
    <n v="500"/>
    <n v="14"/>
    <x v="1"/>
    <x v="0"/>
    <n v="5"/>
    <x v="2"/>
    <s v="Low"/>
    <s v="Yes"/>
  </r>
  <r>
    <n v="199"/>
    <n v="78"/>
    <x v="1"/>
    <x v="3"/>
    <s v="CT Scan and Medication"/>
    <n v="10000"/>
    <n v="20"/>
    <x v="0"/>
    <x v="1"/>
    <n v="2"/>
    <x v="3"/>
    <s v="High"/>
    <s v="No"/>
  </r>
  <r>
    <n v="200"/>
    <n v="53"/>
    <x v="0"/>
    <x v="4"/>
    <s v="Surgery and Chemotherapy"/>
    <n v="25000"/>
    <n v="23"/>
    <x v="1"/>
    <x v="0"/>
    <n v="4"/>
    <x v="0"/>
    <s v="High"/>
    <s v="Yes"/>
  </r>
  <r>
    <n v="201"/>
    <n v="72"/>
    <x v="1"/>
    <x v="5"/>
    <s v="Medication and Counseling"/>
    <n v="1000"/>
    <n v="15"/>
    <x v="0"/>
    <x v="1"/>
    <n v="4"/>
    <x v="1"/>
    <s v="Low"/>
    <s v="Yes"/>
  </r>
  <r>
    <n v="202"/>
    <n v="60"/>
    <x v="0"/>
    <x v="6"/>
    <s v="Appendectomy"/>
    <n v="8000"/>
    <n v="17"/>
    <x v="1"/>
    <x v="0"/>
    <n v="3"/>
    <x v="1"/>
    <s v="Medium"/>
    <s v="No"/>
  </r>
  <r>
    <n v="203"/>
    <n v="45"/>
    <x v="1"/>
    <x v="7"/>
    <s v="Cast and Physical Therapy"/>
    <n v="3000"/>
    <n v="19"/>
    <x v="0"/>
    <x v="0"/>
    <n v="4"/>
    <x v="0"/>
    <s v="Medium"/>
    <s v="Yes"/>
  </r>
  <r>
    <n v="204"/>
    <n v="75"/>
    <x v="0"/>
    <x v="8"/>
    <s v="Cardiac Catheterization"/>
    <n v="18000"/>
    <n v="21"/>
    <x v="1"/>
    <x v="1"/>
    <n v="2"/>
    <x v="3"/>
    <s v="High"/>
    <s v="No"/>
  </r>
  <r>
    <n v="205"/>
    <n v="28"/>
    <x v="1"/>
    <x v="9"/>
    <s v="Epinephrine Injection"/>
    <n v="100"/>
    <n v="14"/>
    <x v="0"/>
    <x v="0"/>
    <n v="5"/>
    <x v="4"/>
    <s v="Low"/>
    <s v="Yes"/>
  </r>
  <r>
    <n v="206"/>
    <n v="52"/>
    <x v="0"/>
    <x v="10"/>
    <s v="Antibiotics and Rest"/>
    <n v="800"/>
    <n v="15"/>
    <x v="0"/>
    <x v="1"/>
    <n v="4"/>
    <x v="0"/>
    <s v="Low"/>
    <s v="Yes"/>
  </r>
  <r>
    <n v="207"/>
    <n v="67"/>
    <x v="1"/>
    <x v="11"/>
    <s v="Radiation Therapy"/>
    <n v="20000"/>
    <n v="22"/>
    <x v="0"/>
    <x v="0"/>
    <n v="3"/>
    <x v="1"/>
    <s v="High"/>
    <s v="No"/>
  </r>
  <r>
    <n v="208"/>
    <n v="35"/>
    <x v="0"/>
    <x v="12"/>
    <s v="Delivery and Postnatal Care"/>
    <n v="12000"/>
    <n v="16"/>
    <x v="0"/>
    <x v="0"/>
    <n v="4"/>
    <x v="2"/>
    <s v="High"/>
    <s v="Yes"/>
  </r>
  <r>
    <n v="209"/>
    <n v="50"/>
    <x v="1"/>
    <x v="13"/>
    <s v="Lithotripsy"/>
    <n v="6000"/>
    <n v="17"/>
    <x v="0"/>
    <x v="0"/>
    <n v="3"/>
    <x v="0"/>
    <s v="Medium"/>
    <s v="No"/>
  </r>
  <r>
    <n v="210"/>
    <n v="60"/>
    <x v="0"/>
    <x v="14"/>
    <s v="Physical Therapy and Pain Management"/>
    <n v="4000"/>
    <n v="18"/>
    <x v="0"/>
    <x v="1"/>
    <n v="4"/>
    <x v="1"/>
    <s v="Medium"/>
    <s v="Yes"/>
  </r>
  <r>
    <n v="211"/>
    <n v="48"/>
    <x v="0"/>
    <x v="0"/>
    <s v="Angioplasty"/>
    <n v="15000"/>
    <n v="19"/>
    <x v="1"/>
    <x v="0"/>
    <n v="4"/>
    <x v="0"/>
    <s v="High"/>
    <s v="Yes"/>
  </r>
  <r>
    <n v="212"/>
    <n v="65"/>
    <x v="1"/>
    <x v="1"/>
    <s v="Insulin Therapy"/>
    <n v="2000"/>
    <n v="17"/>
    <x v="0"/>
    <x v="1"/>
    <n v="3"/>
    <x v="1"/>
    <s v="Medium"/>
    <s v="No"/>
  </r>
  <r>
    <n v="213"/>
    <n v="30"/>
    <x v="0"/>
    <x v="2"/>
    <s v="X-Ray and Splint"/>
    <n v="500"/>
    <n v="15"/>
    <x v="0"/>
    <x v="0"/>
    <n v="5"/>
    <x v="2"/>
    <s v="Low"/>
    <s v="Yes"/>
  </r>
  <r>
    <n v="214"/>
    <n v="70"/>
    <x v="1"/>
    <x v="3"/>
    <s v="CT Scan and Medication"/>
    <n v="10000"/>
    <n v="21"/>
    <x v="1"/>
    <x v="1"/>
    <n v="2"/>
    <x v="1"/>
    <s v="High"/>
    <s v="No"/>
  </r>
  <r>
    <n v="215"/>
    <n v="55"/>
    <x v="0"/>
    <x v="4"/>
    <s v="Surgery and Chemotherapy"/>
    <n v="25000"/>
    <n v="24"/>
    <x v="0"/>
    <x v="0"/>
    <n v="4"/>
    <x v="0"/>
    <s v="High"/>
    <s v="Yes"/>
  </r>
  <r>
    <n v="216"/>
    <n v="68"/>
    <x v="1"/>
    <x v="5"/>
    <s v="Medication and Counseling"/>
    <n v="1000"/>
    <n v="16"/>
    <x v="0"/>
    <x v="1"/>
    <n v="4"/>
    <x v="1"/>
    <s v="Low"/>
    <s v="Yes"/>
  </r>
  <r>
    <n v="217"/>
    <n v="45"/>
    <x v="0"/>
    <x v="6"/>
    <s v="Appendectomy"/>
    <n v="8000"/>
    <n v="18"/>
    <x v="0"/>
    <x v="0"/>
    <n v="3"/>
    <x v="0"/>
    <s v="Medium"/>
    <s v="No"/>
  </r>
  <r>
    <n v="218"/>
    <n v="40"/>
    <x v="1"/>
    <x v="7"/>
    <s v="Cast and Physical Therapy"/>
    <n v="3000"/>
    <n v="20"/>
    <x v="0"/>
    <x v="0"/>
    <n v="4"/>
    <x v="2"/>
    <s v="Medium"/>
    <s v="Yes"/>
  </r>
  <r>
    <n v="219"/>
    <n v="78"/>
    <x v="0"/>
    <x v="8"/>
    <s v="Cardiac Catheterization"/>
    <n v="18000"/>
    <n v="22"/>
    <x v="1"/>
    <x v="1"/>
    <n v="2"/>
    <x v="3"/>
    <s v="High"/>
    <s v="No"/>
  </r>
  <r>
    <n v="220"/>
    <n v="25"/>
    <x v="1"/>
    <x v="9"/>
    <s v="Epinephrine Injection"/>
    <n v="100"/>
    <n v="15"/>
    <x v="0"/>
    <x v="0"/>
    <n v="5"/>
    <x v="4"/>
    <s v="Low"/>
    <s v="Yes"/>
  </r>
  <r>
    <n v="221"/>
    <n v="52"/>
    <x v="0"/>
    <x v="10"/>
    <s v="Antibiotics and Rest"/>
    <n v="800"/>
    <n v="16"/>
    <x v="0"/>
    <x v="1"/>
    <n v="4"/>
    <x v="0"/>
    <s v="Low"/>
    <s v="Yes"/>
  </r>
  <r>
    <n v="222"/>
    <n v="58"/>
    <x v="1"/>
    <x v="11"/>
    <s v="Radiation Therapy"/>
    <n v="20000"/>
    <n v="23"/>
    <x v="0"/>
    <x v="0"/>
    <n v="3"/>
    <x v="0"/>
    <s v="High"/>
    <s v="No"/>
  </r>
  <r>
    <n v="223"/>
    <n v="32"/>
    <x v="0"/>
    <x v="12"/>
    <s v="Delivery and Postnatal Care"/>
    <n v="12000"/>
    <n v="17"/>
    <x v="0"/>
    <x v="0"/>
    <n v="4"/>
    <x v="2"/>
    <s v="High"/>
    <s v="Yes"/>
  </r>
  <r>
    <n v="224"/>
    <n v="55"/>
    <x v="1"/>
    <x v="13"/>
    <s v="Lithotripsy"/>
    <n v="6000"/>
    <n v="18"/>
    <x v="0"/>
    <x v="0"/>
    <n v="3"/>
    <x v="0"/>
    <s v="Medium"/>
    <s v="No"/>
  </r>
  <r>
    <n v="225"/>
    <n v="65"/>
    <x v="0"/>
    <x v="14"/>
    <s v="Physical Therapy and Pain Management"/>
    <n v="4000"/>
    <n v="19"/>
    <x v="0"/>
    <x v="1"/>
    <n v="4"/>
    <x v="1"/>
    <s v="Medium"/>
    <s v="Yes"/>
  </r>
  <r>
    <n v="226"/>
    <n v="55"/>
    <x v="0"/>
    <x v="0"/>
    <s v="Angioplasty"/>
    <n v="15000"/>
    <n v="20"/>
    <x v="1"/>
    <x v="0"/>
    <n v="3"/>
    <x v="0"/>
    <s v="High"/>
    <s v="No"/>
  </r>
  <r>
    <n v="227"/>
    <n v="62"/>
    <x v="1"/>
    <x v="1"/>
    <s v="Insulin Therapy"/>
    <n v="2000"/>
    <n v="18"/>
    <x v="0"/>
    <x v="1"/>
    <n v="4"/>
    <x v="1"/>
    <s v="Medium"/>
    <s v="Yes"/>
  </r>
  <r>
    <n v="228"/>
    <n v="35"/>
    <x v="0"/>
    <x v="2"/>
    <s v="X-Ray and Splint"/>
    <n v="500"/>
    <n v="16"/>
    <x v="1"/>
    <x v="0"/>
    <n v="5"/>
    <x v="2"/>
    <s v="Low"/>
    <s v="Yes"/>
  </r>
  <r>
    <n v="229"/>
    <n v="78"/>
    <x v="1"/>
    <x v="3"/>
    <s v="CT Scan and Medication"/>
    <n v="10000"/>
    <n v="22"/>
    <x v="0"/>
    <x v="1"/>
    <n v="2"/>
    <x v="3"/>
    <s v="High"/>
    <s v="No"/>
  </r>
  <r>
    <n v="230"/>
    <n v="53"/>
    <x v="0"/>
    <x v="4"/>
    <s v="Surgery and Chemotherapy"/>
    <n v="25000"/>
    <n v="25"/>
    <x v="1"/>
    <x v="0"/>
    <n v="4"/>
    <x v="0"/>
    <s v="High"/>
    <s v="Yes"/>
  </r>
  <r>
    <n v="231"/>
    <n v="72"/>
    <x v="1"/>
    <x v="5"/>
    <s v="Medication and Counseling"/>
    <n v="1000"/>
    <n v="17"/>
    <x v="0"/>
    <x v="1"/>
    <n v="4"/>
    <x v="1"/>
    <s v="Low"/>
    <s v="Yes"/>
  </r>
  <r>
    <n v="232"/>
    <n v="60"/>
    <x v="0"/>
    <x v="6"/>
    <s v="Appendectomy"/>
    <n v="8000"/>
    <n v="19"/>
    <x v="1"/>
    <x v="0"/>
    <n v="3"/>
    <x v="1"/>
    <s v="Medium"/>
    <s v="No"/>
  </r>
  <r>
    <n v="233"/>
    <n v="45"/>
    <x v="1"/>
    <x v="7"/>
    <s v="Cast and Physical Therapy"/>
    <n v="3000"/>
    <n v="21"/>
    <x v="0"/>
    <x v="0"/>
    <n v="4"/>
    <x v="0"/>
    <s v="Medium"/>
    <s v="Yes"/>
  </r>
  <r>
    <n v="234"/>
    <n v="75"/>
    <x v="0"/>
    <x v="8"/>
    <s v="Cardiac Catheterization"/>
    <n v="18000"/>
    <n v="23"/>
    <x v="1"/>
    <x v="1"/>
    <n v="2"/>
    <x v="3"/>
    <s v="High"/>
    <s v="No"/>
  </r>
  <r>
    <n v="235"/>
    <n v="28"/>
    <x v="1"/>
    <x v="9"/>
    <s v="Epinephrine Injection"/>
    <n v="100"/>
    <n v="16"/>
    <x v="0"/>
    <x v="0"/>
    <n v="5"/>
    <x v="4"/>
    <s v="Low"/>
    <s v="Yes"/>
  </r>
  <r>
    <n v="236"/>
    <n v="52"/>
    <x v="0"/>
    <x v="10"/>
    <s v="Antibiotics and Rest"/>
    <n v="800"/>
    <n v="17"/>
    <x v="0"/>
    <x v="1"/>
    <n v="4"/>
    <x v="0"/>
    <s v="Low"/>
    <s v="Yes"/>
  </r>
  <r>
    <n v="237"/>
    <n v="67"/>
    <x v="1"/>
    <x v="11"/>
    <s v="Radiation Therapy"/>
    <n v="20000"/>
    <n v="24"/>
    <x v="0"/>
    <x v="0"/>
    <n v="3"/>
    <x v="1"/>
    <s v="High"/>
    <s v="No"/>
  </r>
  <r>
    <n v="238"/>
    <n v="35"/>
    <x v="0"/>
    <x v="12"/>
    <s v="Delivery and Postnatal Care"/>
    <n v="12000"/>
    <n v="18"/>
    <x v="0"/>
    <x v="0"/>
    <n v="4"/>
    <x v="2"/>
    <s v="High"/>
    <s v="Yes"/>
  </r>
  <r>
    <n v="239"/>
    <n v="50"/>
    <x v="1"/>
    <x v="13"/>
    <s v="Lithotripsy"/>
    <n v="6000"/>
    <n v="19"/>
    <x v="0"/>
    <x v="0"/>
    <n v="3"/>
    <x v="0"/>
    <s v="Medium"/>
    <s v="No"/>
  </r>
  <r>
    <n v="240"/>
    <n v="60"/>
    <x v="0"/>
    <x v="14"/>
    <s v="Physical Therapy and Pain Management"/>
    <n v="4000"/>
    <n v="20"/>
    <x v="0"/>
    <x v="1"/>
    <n v="4"/>
    <x v="1"/>
    <s v="Medium"/>
    <s v="Yes"/>
  </r>
  <r>
    <n v="241"/>
    <n v="48"/>
    <x v="0"/>
    <x v="0"/>
    <s v="Angioplasty"/>
    <n v="15000"/>
    <n v="21"/>
    <x v="1"/>
    <x v="0"/>
    <n v="4"/>
    <x v="0"/>
    <s v="High"/>
    <s v="Yes"/>
  </r>
  <r>
    <n v="242"/>
    <n v="65"/>
    <x v="1"/>
    <x v="1"/>
    <s v="Insulin Therapy"/>
    <n v="2000"/>
    <n v="19"/>
    <x v="0"/>
    <x v="1"/>
    <n v="3"/>
    <x v="1"/>
    <s v="Medium"/>
    <s v="No"/>
  </r>
  <r>
    <n v="244"/>
    <n v="70"/>
    <x v="1"/>
    <x v="3"/>
    <s v="CT Scan and Medication"/>
    <n v="10000"/>
    <n v="23"/>
    <x v="1"/>
    <x v="1"/>
    <n v="2"/>
    <x v="1"/>
    <s v="High"/>
    <s v="No"/>
  </r>
  <r>
    <n v="245"/>
    <n v="55"/>
    <x v="0"/>
    <x v="4"/>
    <s v="Surgery and Chemotherapy"/>
    <n v="25000"/>
    <n v="26"/>
    <x v="0"/>
    <x v="0"/>
    <n v="4"/>
    <x v="0"/>
    <s v="High"/>
    <s v="Yes"/>
  </r>
  <r>
    <n v="246"/>
    <n v="68"/>
    <x v="1"/>
    <x v="5"/>
    <s v="Medication and Counseling"/>
    <n v="1000"/>
    <n v="18"/>
    <x v="0"/>
    <x v="1"/>
    <n v="4"/>
    <x v="1"/>
    <s v="Low"/>
    <s v="Yes"/>
  </r>
  <r>
    <n v="247"/>
    <n v="45"/>
    <x v="0"/>
    <x v="6"/>
    <s v="Appendectomy"/>
    <n v="8000"/>
    <n v="20"/>
    <x v="0"/>
    <x v="0"/>
    <n v="3"/>
    <x v="0"/>
    <s v="Medium"/>
    <s v="No"/>
  </r>
  <r>
    <n v="248"/>
    <n v="40"/>
    <x v="1"/>
    <x v="7"/>
    <s v="Cast and Physical Therapy"/>
    <n v="3000"/>
    <n v="22"/>
    <x v="0"/>
    <x v="0"/>
    <n v="4"/>
    <x v="2"/>
    <s v="Medium"/>
    <s v="Yes"/>
  </r>
  <r>
    <n v="249"/>
    <n v="78"/>
    <x v="0"/>
    <x v="8"/>
    <s v="Cardiac Catheterization"/>
    <n v="18000"/>
    <n v="24"/>
    <x v="1"/>
    <x v="1"/>
    <n v="2"/>
    <x v="3"/>
    <s v="High"/>
    <s v="No"/>
  </r>
  <r>
    <n v="250"/>
    <n v="25"/>
    <x v="1"/>
    <x v="9"/>
    <s v="Epinephrine Injection"/>
    <n v="100"/>
    <n v="17"/>
    <x v="0"/>
    <x v="0"/>
    <n v="5"/>
    <x v="4"/>
    <s v="Low"/>
    <s v="Yes"/>
  </r>
  <r>
    <n v="251"/>
    <n v="52"/>
    <x v="0"/>
    <x v="10"/>
    <s v="Antibiotics and Rest"/>
    <n v="800"/>
    <n v="18"/>
    <x v="0"/>
    <x v="1"/>
    <n v="4"/>
    <x v="0"/>
    <s v="Low"/>
    <s v="Yes"/>
  </r>
  <r>
    <n v="252"/>
    <n v="58"/>
    <x v="1"/>
    <x v="11"/>
    <s v="Radiation Therapy"/>
    <n v="20000"/>
    <n v="25"/>
    <x v="0"/>
    <x v="0"/>
    <n v="3"/>
    <x v="0"/>
    <s v="High"/>
    <s v="No"/>
  </r>
  <r>
    <n v="253"/>
    <n v="32"/>
    <x v="0"/>
    <x v="12"/>
    <s v="Delivery and Postnatal Care"/>
    <n v="12000"/>
    <n v="19"/>
    <x v="0"/>
    <x v="0"/>
    <n v="4"/>
    <x v="2"/>
    <s v="High"/>
    <s v="Yes"/>
  </r>
  <r>
    <n v="254"/>
    <n v="55"/>
    <x v="1"/>
    <x v="13"/>
    <s v="Lithotripsy"/>
    <n v="6000"/>
    <n v="20"/>
    <x v="0"/>
    <x v="0"/>
    <n v="3"/>
    <x v="0"/>
    <s v="Medium"/>
    <s v="No"/>
  </r>
  <r>
    <n v="255"/>
    <n v="65"/>
    <x v="0"/>
    <x v="14"/>
    <s v="Physical Therapy and Pain Management"/>
    <n v="4000"/>
    <n v="21"/>
    <x v="0"/>
    <x v="1"/>
    <n v="4"/>
    <x v="1"/>
    <s v="Medium"/>
    <s v="Yes"/>
  </r>
  <r>
    <n v="256"/>
    <n v="55"/>
    <x v="0"/>
    <x v="0"/>
    <s v="Angioplasty"/>
    <n v="15000"/>
    <n v="22"/>
    <x v="1"/>
    <x v="0"/>
    <n v="3"/>
    <x v="0"/>
    <s v="High"/>
    <s v="No"/>
  </r>
  <r>
    <n v="257"/>
    <n v="62"/>
    <x v="1"/>
    <x v="1"/>
    <s v="Insulin Therapy"/>
    <n v="2000"/>
    <n v="20"/>
    <x v="0"/>
    <x v="1"/>
    <n v="4"/>
    <x v="1"/>
    <s v="Medium"/>
    <s v="Yes"/>
  </r>
  <r>
    <n v="258"/>
    <n v="35"/>
    <x v="0"/>
    <x v="2"/>
    <s v="X-Ray and Splint"/>
    <n v="500"/>
    <n v="18"/>
    <x v="1"/>
    <x v="0"/>
    <n v="5"/>
    <x v="2"/>
    <s v="Low"/>
    <s v="Yes"/>
  </r>
  <r>
    <n v="259"/>
    <n v="78"/>
    <x v="1"/>
    <x v="3"/>
    <s v="CT Scan and Medication"/>
    <n v="10000"/>
    <n v="24"/>
    <x v="0"/>
    <x v="1"/>
    <n v="2"/>
    <x v="3"/>
    <s v="High"/>
    <s v="No"/>
  </r>
  <r>
    <n v="260"/>
    <n v="53"/>
    <x v="0"/>
    <x v="4"/>
    <s v="Surgery and Chemotherapy"/>
    <n v="25000"/>
    <n v="27"/>
    <x v="1"/>
    <x v="0"/>
    <n v="4"/>
    <x v="0"/>
    <s v="High"/>
    <s v="Yes"/>
  </r>
  <r>
    <n v="261"/>
    <n v="72"/>
    <x v="1"/>
    <x v="5"/>
    <s v="Medication and Counseling"/>
    <n v="1000"/>
    <n v="19"/>
    <x v="0"/>
    <x v="1"/>
    <n v="4"/>
    <x v="1"/>
    <s v="Low"/>
    <s v="Yes"/>
  </r>
  <r>
    <n v="262"/>
    <n v="60"/>
    <x v="0"/>
    <x v="6"/>
    <s v="Appendectomy"/>
    <n v="8000"/>
    <n v="21"/>
    <x v="1"/>
    <x v="0"/>
    <n v="3"/>
    <x v="1"/>
    <s v="Medium"/>
    <s v="No"/>
  </r>
  <r>
    <n v="263"/>
    <n v="45"/>
    <x v="1"/>
    <x v="7"/>
    <s v="Cast and Physical Therapy"/>
    <n v="3000"/>
    <n v="23"/>
    <x v="0"/>
    <x v="0"/>
    <n v="4"/>
    <x v="0"/>
    <s v="Medium"/>
    <s v="Yes"/>
  </r>
  <r>
    <n v="264"/>
    <n v="75"/>
    <x v="0"/>
    <x v="8"/>
    <s v="Cardiac Catheterization"/>
    <n v="18000"/>
    <n v="25"/>
    <x v="1"/>
    <x v="1"/>
    <n v="2"/>
    <x v="3"/>
    <s v="High"/>
    <s v="No"/>
  </r>
  <r>
    <n v="265"/>
    <n v="28"/>
    <x v="1"/>
    <x v="9"/>
    <s v="Epinephrine Injection"/>
    <n v="100"/>
    <n v="18"/>
    <x v="0"/>
    <x v="0"/>
    <n v="5"/>
    <x v="4"/>
    <s v="Low"/>
    <s v="Yes"/>
  </r>
  <r>
    <n v="266"/>
    <n v="52"/>
    <x v="0"/>
    <x v="10"/>
    <s v="Antibiotics and Rest"/>
    <n v="800"/>
    <n v="19"/>
    <x v="0"/>
    <x v="1"/>
    <n v="4"/>
    <x v="0"/>
    <s v="Low"/>
    <s v="Yes"/>
  </r>
  <r>
    <n v="267"/>
    <n v="67"/>
    <x v="1"/>
    <x v="11"/>
    <s v="Radiation Therapy"/>
    <n v="20000"/>
    <n v="26"/>
    <x v="0"/>
    <x v="0"/>
    <n v="3"/>
    <x v="1"/>
    <s v="High"/>
    <s v="No"/>
  </r>
  <r>
    <n v="268"/>
    <n v="35"/>
    <x v="0"/>
    <x v="12"/>
    <s v="Delivery and Postnatal Care"/>
    <n v="12000"/>
    <n v="20"/>
    <x v="0"/>
    <x v="0"/>
    <n v="4"/>
    <x v="2"/>
    <s v="High"/>
    <s v="Yes"/>
  </r>
  <r>
    <n v="269"/>
    <n v="50"/>
    <x v="1"/>
    <x v="13"/>
    <s v="Lithotripsy"/>
    <n v="6000"/>
    <n v="21"/>
    <x v="0"/>
    <x v="0"/>
    <n v="3"/>
    <x v="0"/>
    <s v="Medium"/>
    <s v="No"/>
  </r>
  <r>
    <n v="270"/>
    <n v="60"/>
    <x v="0"/>
    <x v="14"/>
    <s v="Physical Therapy and Pain Management"/>
    <n v="4000"/>
    <n v="22"/>
    <x v="0"/>
    <x v="1"/>
    <n v="4"/>
    <x v="1"/>
    <s v="Medium"/>
    <s v="Yes"/>
  </r>
  <r>
    <n v="271"/>
    <n v="48"/>
    <x v="0"/>
    <x v="0"/>
    <s v="Angioplasty"/>
    <n v="15000"/>
    <n v="23"/>
    <x v="1"/>
    <x v="0"/>
    <n v="4"/>
    <x v="0"/>
    <s v="High"/>
    <s v="Yes"/>
  </r>
  <r>
    <n v="272"/>
    <n v="65"/>
    <x v="1"/>
    <x v="1"/>
    <s v="Insulin Therapy"/>
    <n v="2000"/>
    <n v="21"/>
    <x v="0"/>
    <x v="1"/>
    <n v="3"/>
    <x v="1"/>
    <s v="Medium"/>
    <s v="No"/>
  </r>
  <r>
    <n v="273"/>
    <n v="30"/>
    <x v="0"/>
    <x v="2"/>
    <s v="X-Ray and Splint"/>
    <n v="500"/>
    <n v="19"/>
    <x v="0"/>
    <x v="0"/>
    <n v="5"/>
    <x v="2"/>
    <s v="Low"/>
    <s v="Yes"/>
  </r>
  <r>
    <n v="274"/>
    <n v="70"/>
    <x v="1"/>
    <x v="3"/>
    <s v="CT Scan and Medication"/>
    <n v="10000"/>
    <n v="25"/>
    <x v="1"/>
    <x v="1"/>
    <n v="2"/>
    <x v="1"/>
    <s v="High"/>
    <s v="No"/>
  </r>
  <r>
    <n v="275"/>
    <n v="55"/>
    <x v="0"/>
    <x v="4"/>
    <s v="Surgery and Chemotherapy"/>
    <n v="25000"/>
    <n v="28"/>
    <x v="0"/>
    <x v="0"/>
    <n v="4"/>
    <x v="0"/>
    <s v="High"/>
    <s v="Yes"/>
  </r>
  <r>
    <n v="276"/>
    <n v="68"/>
    <x v="1"/>
    <x v="5"/>
    <s v="Medication and Counseling"/>
    <n v="1000"/>
    <n v="20"/>
    <x v="0"/>
    <x v="1"/>
    <n v="4"/>
    <x v="1"/>
    <s v="Low"/>
    <s v="Yes"/>
  </r>
  <r>
    <n v="277"/>
    <n v="45"/>
    <x v="0"/>
    <x v="6"/>
    <s v="Appendectomy"/>
    <n v="8000"/>
    <n v="22"/>
    <x v="0"/>
    <x v="0"/>
    <n v="3"/>
    <x v="0"/>
    <s v="Medium"/>
    <s v="No"/>
  </r>
  <r>
    <n v="278"/>
    <n v="40"/>
    <x v="1"/>
    <x v="7"/>
    <s v="Cast and Physical Therapy"/>
    <n v="3000"/>
    <n v="24"/>
    <x v="0"/>
    <x v="0"/>
    <n v="4"/>
    <x v="2"/>
    <s v="Medium"/>
    <s v="Yes"/>
  </r>
  <r>
    <n v="279"/>
    <n v="78"/>
    <x v="0"/>
    <x v="8"/>
    <s v="Cardiac Catheterization"/>
    <n v="18000"/>
    <n v="26"/>
    <x v="1"/>
    <x v="1"/>
    <n v="2"/>
    <x v="3"/>
    <s v="High"/>
    <s v="No"/>
  </r>
  <r>
    <n v="280"/>
    <n v="25"/>
    <x v="1"/>
    <x v="9"/>
    <s v="Epinephrine Injection"/>
    <n v="100"/>
    <n v="19"/>
    <x v="0"/>
    <x v="0"/>
    <n v="5"/>
    <x v="4"/>
    <s v="Low"/>
    <s v="Yes"/>
  </r>
  <r>
    <n v="281"/>
    <n v="52"/>
    <x v="0"/>
    <x v="10"/>
    <s v="Antibiotics and Rest"/>
    <n v="800"/>
    <n v="20"/>
    <x v="0"/>
    <x v="1"/>
    <n v="4"/>
    <x v="0"/>
    <s v="Low"/>
    <s v="Yes"/>
  </r>
  <r>
    <n v="282"/>
    <n v="58"/>
    <x v="1"/>
    <x v="11"/>
    <s v="Radiation Therapy"/>
    <n v="20000"/>
    <n v="27"/>
    <x v="0"/>
    <x v="0"/>
    <n v="3"/>
    <x v="0"/>
    <s v="High"/>
    <s v="No"/>
  </r>
  <r>
    <n v="283"/>
    <n v="32"/>
    <x v="0"/>
    <x v="12"/>
    <s v="Delivery and Postnatal Care"/>
    <n v="12000"/>
    <n v="21"/>
    <x v="0"/>
    <x v="0"/>
    <n v="4"/>
    <x v="2"/>
    <s v="High"/>
    <s v="Yes"/>
  </r>
  <r>
    <n v="284"/>
    <n v="55"/>
    <x v="1"/>
    <x v="13"/>
    <s v="Lithotripsy"/>
    <n v="6000"/>
    <n v="22"/>
    <x v="0"/>
    <x v="0"/>
    <n v="3"/>
    <x v="0"/>
    <s v="Medium"/>
    <s v="No"/>
  </r>
  <r>
    <n v="285"/>
    <n v="65"/>
    <x v="0"/>
    <x v="14"/>
    <s v="Physical Therapy and Pain Management"/>
    <n v="4000"/>
    <n v="23"/>
    <x v="0"/>
    <x v="1"/>
    <n v="4"/>
    <x v="1"/>
    <s v="Medium"/>
    <s v="Yes"/>
  </r>
  <r>
    <n v="286"/>
    <n v="55"/>
    <x v="0"/>
    <x v="0"/>
    <s v="Angioplasty"/>
    <n v="15000"/>
    <n v="24"/>
    <x v="1"/>
    <x v="0"/>
    <n v="3"/>
    <x v="0"/>
    <s v="High"/>
    <s v="No"/>
  </r>
  <r>
    <n v="287"/>
    <n v="62"/>
    <x v="1"/>
    <x v="1"/>
    <s v="Insulin Therapy"/>
    <n v="2000"/>
    <n v="22"/>
    <x v="0"/>
    <x v="1"/>
    <n v="4"/>
    <x v="1"/>
    <s v="Medium"/>
    <s v="Yes"/>
  </r>
  <r>
    <n v="288"/>
    <n v="35"/>
    <x v="0"/>
    <x v="2"/>
    <s v="X-Ray and Splint"/>
    <n v="500"/>
    <n v="20"/>
    <x v="1"/>
    <x v="0"/>
    <n v="5"/>
    <x v="2"/>
    <s v="Low"/>
    <s v="Yes"/>
  </r>
  <r>
    <n v="289"/>
    <n v="78"/>
    <x v="1"/>
    <x v="3"/>
    <s v="CT Scan and Medication"/>
    <n v="10000"/>
    <n v="26"/>
    <x v="0"/>
    <x v="1"/>
    <n v="2"/>
    <x v="3"/>
    <s v="High"/>
    <s v="No"/>
  </r>
  <r>
    <n v="290"/>
    <n v="53"/>
    <x v="0"/>
    <x v="4"/>
    <s v="Surgery and Chemotherapy"/>
    <n v="25000"/>
    <n v="29"/>
    <x v="1"/>
    <x v="0"/>
    <n v="4"/>
    <x v="0"/>
    <s v="High"/>
    <s v="Yes"/>
  </r>
  <r>
    <n v="291"/>
    <n v="72"/>
    <x v="1"/>
    <x v="5"/>
    <s v="Medication and Counseling"/>
    <n v="1000"/>
    <n v="21"/>
    <x v="0"/>
    <x v="1"/>
    <n v="4"/>
    <x v="1"/>
    <s v="Low"/>
    <s v="Yes"/>
  </r>
  <r>
    <n v="292"/>
    <n v="60"/>
    <x v="0"/>
    <x v="6"/>
    <s v="Appendectomy"/>
    <n v="8000"/>
    <n v="23"/>
    <x v="1"/>
    <x v="0"/>
    <n v="3"/>
    <x v="1"/>
    <s v="Medium"/>
    <s v="No"/>
  </r>
  <r>
    <n v="293"/>
    <n v="45"/>
    <x v="1"/>
    <x v="7"/>
    <s v="Cast and Physical Therapy"/>
    <n v="3000"/>
    <n v="25"/>
    <x v="0"/>
    <x v="0"/>
    <n v="4"/>
    <x v="0"/>
    <s v="Medium"/>
    <s v="Yes"/>
  </r>
  <r>
    <n v="294"/>
    <n v="75"/>
    <x v="0"/>
    <x v="8"/>
    <s v="Cardiac Catheterization"/>
    <n v="18000"/>
    <n v="27"/>
    <x v="1"/>
    <x v="1"/>
    <n v="2"/>
    <x v="3"/>
    <s v="High"/>
    <s v="No"/>
  </r>
  <r>
    <n v="296"/>
    <n v="52"/>
    <x v="0"/>
    <x v="10"/>
    <s v="Antibiotics and Rest"/>
    <n v="800"/>
    <n v="21"/>
    <x v="0"/>
    <x v="1"/>
    <n v="4"/>
    <x v="0"/>
    <s v="Low"/>
    <s v="Yes"/>
  </r>
  <r>
    <n v="297"/>
    <n v="67"/>
    <x v="1"/>
    <x v="11"/>
    <s v="Radiation Therapy"/>
    <n v="20000"/>
    <n v="28"/>
    <x v="0"/>
    <x v="0"/>
    <n v="3"/>
    <x v="1"/>
    <s v="High"/>
    <s v="No"/>
  </r>
  <r>
    <n v="298"/>
    <n v="35"/>
    <x v="0"/>
    <x v="12"/>
    <s v="Delivery and Postnatal Care"/>
    <n v="12000"/>
    <n v="22"/>
    <x v="0"/>
    <x v="0"/>
    <n v="4"/>
    <x v="2"/>
    <s v="High"/>
    <s v="Yes"/>
  </r>
  <r>
    <n v="299"/>
    <n v="50"/>
    <x v="1"/>
    <x v="13"/>
    <s v="Lithotripsy"/>
    <n v="6000"/>
    <n v="23"/>
    <x v="0"/>
    <x v="0"/>
    <n v="3"/>
    <x v="0"/>
    <s v="Medium"/>
    <s v="No"/>
  </r>
  <r>
    <n v="300"/>
    <n v="60"/>
    <x v="0"/>
    <x v="14"/>
    <s v="Physical Therapy and Pain Management"/>
    <n v="4000"/>
    <n v="24"/>
    <x v="0"/>
    <x v="1"/>
    <n v="4"/>
    <x v="1"/>
    <s v="Medium"/>
    <s v="Yes"/>
  </r>
  <r>
    <n v="301"/>
    <n v="48"/>
    <x v="0"/>
    <x v="0"/>
    <s v="Angioplasty"/>
    <n v="15000"/>
    <n v="25"/>
    <x v="1"/>
    <x v="0"/>
    <n v="4"/>
    <x v="0"/>
    <s v="High"/>
    <s v="Yes"/>
  </r>
  <r>
    <n v="302"/>
    <n v="65"/>
    <x v="1"/>
    <x v="1"/>
    <s v="Insulin Therapy"/>
    <n v="2000"/>
    <n v="23"/>
    <x v="0"/>
    <x v="1"/>
    <n v="3"/>
    <x v="1"/>
    <s v="Medium"/>
    <s v="No"/>
  </r>
  <r>
    <n v="303"/>
    <n v="30"/>
    <x v="0"/>
    <x v="2"/>
    <s v="X-Ray and Splint"/>
    <n v="500"/>
    <n v="21"/>
    <x v="0"/>
    <x v="0"/>
    <n v="5"/>
    <x v="2"/>
    <s v="Low"/>
    <s v="Yes"/>
  </r>
  <r>
    <n v="304"/>
    <n v="70"/>
    <x v="1"/>
    <x v="3"/>
    <s v="CT Scan and Medication"/>
    <n v="10000"/>
    <n v="27"/>
    <x v="1"/>
    <x v="1"/>
    <n v="2"/>
    <x v="1"/>
    <s v="High"/>
    <s v="No"/>
  </r>
  <r>
    <n v="305"/>
    <n v="55"/>
    <x v="0"/>
    <x v="4"/>
    <s v="Surgery and Chemotherapy"/>
    <n v="25000"/>
    <n v="30"/>
    <x v="0"/>
    <x v="0"/>
    <n v="4"/>
    <x v="0"/>
    <s v="High"/>
    <s v="Yes"/>
  </r>
  <r>
    <n v="306"/>
    <n v="68"/>
    <x v="1"/>
    <x v="5"/>
    <s v="Medication and Counseling"/>
    <n v="1000"/>
    <n v="22"/>
    <x v="0"/>
    <x v="1"/>
    <n v="4"/>
    <x v="1"/>
    <s v="Low"/>
    <s v="Yes"/>
  </r>
  <r>
    <n v="307"/>
    <n v="45"/>
    <x v="0"/>
    <x v="6"/>
    <s v="Appendectomy"/>
    <n v="8000"/>
    <n v="24"/>
    <x v="0"/>
    <x v="0"/>
    <n v="3"/>
    <x v="0"/>
    <s v="Medium"/>
    <s v="No"/>
  </r>
  <r>
    <n v="308"/>
    <n v="40"/>
    <x v="1"/>
    <x v="7"/>
    <s v="Cast and Physical Therapy"/>
    <n v="3000"/>
    <n v="26"/>
    <x v="0"/>
    <x v="0"/>
    <n v="4"/>
    <x v="2"/>
    <s v="Medium"/>
    <s v="Yes"/>
  </r>
  <r>
    <n v="309"/>
    <n v="78"/>
    <x v="0"/>
    <x v="8"/>
    <s v="Cardiac Catheterization"/>
    <n v="18000"/>
    <n v="28"/>
    <x v="1"/>
    <x v="1"/>
    <n v="2"/>
    <x v="3"/>
    <s v="High"/>
    <s v="No"/>
  </r>
  <r>
    <n v="310"/>
    <n v="25"/>
    <x v="1"/>
    <x v="9"/>
    <s v="Epinephrine Injection"/>
    <n v="100"/>
    <n v="21"/>
    <x v="0"/>
    <x v="0"/>
    <n v="5"/>
    <x v="4"/>
    <s v="Low"/>
    <s v="Yes"/>
  </r>
  <r>
    <n v="311"/>
    <n v="52"/>
    <x v="0"/>
    <x v="10"/>
    <s v="Antibiotics and Rest"/>
    <n v="800"/>
    <n v="22"/>
    <x v="0"/>
    <x v="1"/>
    <n v="4"/>
    <x v="0"/>
    <s v="Low"/>
    <s v="Yes"/>
  </r>
  <r>
    <n v="312"/>
    <n v="58"/>
    <x v="1"/>
    <x v="11"/>
    <s v="Radiation Therapy"/>
    <n v="20000"/>
    <n v="29"/>
    <x v="0"/>
    <x v="0"/>
    <n v="3"/>
    <x v="0"/>
    <s v="High"/>
    <s v="No"/>
  </r>
  <r>
    <n v="313"/>
    <n v="32"/>
    <x v="0"/>
    <x v="12"/>
    <s v="Delivery and Postnatal Care"/>
    <n v="12000"/>
    <n v="23"/>
    <x v="0"/>
    <x v="0"/>
    <n v="4"/>
    <x v="2"/>
    <s v="High"/>
    <s v="Yes"/>
  </r>
  <r>
    <n v="314"/>
    <n v="55"/>
    <x v="1"/>
    <x v="13"/>
    <s v="Lithotripsy"/>
    <n v="6000"/>
    <n v="24"/>
    <x v="0"/>
    <x v="0"/>
    <n v="3"/>
    <x v="0"/>
    <s v="Medium"/>
    <s v="No"/>
  </r>
  <r>
    <n v="315"/>
    <n v="65"/>
    <x v="0"/>
    <x v="14"/>
    <s v="Physical Therapy and Pain Management"/>
    <n v="4000"/>
    <n v="25"/>
    <x v="0"/>
    <x v="1"/>
    <n v="4"/>
    <x v="1"/>
    <s v="Medium"/>
    <s v="Yes"/>
  </r>
  <r>
    <n v="316"/>
    <n v="55"/>
    <x v="0"/>
    <x v="0"/>
    <s v="Angioplasty"/>
    <n v="15000"/>
    <n v="26"/>
    <x v="1"/>
    <x v="0"/>
    <n v="3"/>
    <x v="0"/>
    <s v="High"/>
    <s v="No"/>
  </r>
  <r>
    <n v="317"/>
    <n v="62"/>
    <x v="1"/>
    <x v="1"/>
    <s v="Insulin Therapy"/>
    <n v="2000"/>
    <n v="24"/>
    <x v="0"/>
    <x v="1"/>
    <n v="4"/>
    <x v="1"/>
    <s v="Medium"/>
    <s v="Yes"/>
  </r>
  <r>
    <n v="318"/>
    <n v="35"/>
    <x v="0"/>
    <x v="2"/>
    <s v="X-Ray and Splint"/>
    <n v="500"/>
    <n v="22"/>
    <x v="1"/>
    <x v="0"/>
    <n v="5"/>
    <x v="2"/>
    <s v="Low"/>
    <s v="Yes"/>
  </r>
  <r>
    <n v="319"/>
    <n v="78"/>
    <x v="1"/>
    <x v="3"/>
    <s v="CT Scan and Medication"/>
    <n v="10000"/>
    <n v="28"/>
    <x v="0"/>
    <x v="1"/>
    <n v="2"/>
    <x v="3"/>
    <s v="High"/>
    <s v="No"/>
  </r>
  <r>
    <n v="320"/>
    <n v="53"/>
    <x v="0"/>
    <x v="4"/>
    <s v="Surgery and Chemotherapy"/>
    <n v="25000"/>
    <n v="31"/>
    <x v="1"/>
    <x v="0"/>
    <n v="4"/>
    <x v="0"/>
    <s v="High"/>
    <s v="Yes"/>
  </r>
  <r>
    <n v="321"/>
    <n v="72"/>
    <x v="1"/>
    <x v="5"/>
    <s v="Medication and Counseling"/>
    <n v="1000"/>
    <n v="23"/>
    <x v="0"/>
    <x v="1"/>
    <n v="4"/>
    <x v="1"/>
    <s v="Low"/>
    <s v="Yes"/>
  </r>
  <r>
    <n v="322"/>
    <n v="60"/>
    <x v="0"/>
    <x v="6"/>
    <s v="Appendectomy"/>
    <n v="8000"/>
    <n v="25"/>
    <x v="1"/>
    <x v="0"/>
    <n v="3"/>
    <x v="1"/>
    <s v="Medium"/>
    <s v="No"/>
  </r>
  <r>
    <n v="323"/>
    <n v="45"/>
    <x v="1"/>
    <x v="7"/>
    <s v="Cast and Physical Therapy"/>
    <n v="3000"/>
    <n v="27"/>
    <x v="0"/>
    <x v="0"/>
    <n v="4"/>
    <x v="0"/>
    <s v="Medium"/>
    <s v="Yes"/>
  </r>
  <r>
    <n v="324"/>
    <n v="75"/>
    <x v="0"/>
    <x v="8"/>
    <s v="Cardiac Catheterization"/>
    <n v="18000"/>
    <n v="29"/>
    <x v="1"/>
    <x v="1"/>
    <n v="2"/>
    <x v="3"/>
    <s v="High"/>
    <s v="No"/>
  </r>
  <r>
    <n v="325"/>
    <n v="28"/>
    <x v="1"/>
    <x v="9"/>
    <s v="Epinephrine Injection"/>
    <n v="100"/>
    <n v="22"/>
    <x v="0"/>
    <x v="0"/>
    <n v="5"/>
    <x v="4"/>
    <s v="Low"/>
    <s v="Yes"/>
  </r>
  <r>
    <n v="326"/>
    <n v="52"/>
    <x v="0"/>
    <x v="10"/>
    <s v="Antibiotics and Rest"/>
    <n v="800"/>
    <n v="23"/>
    <x v="0"/>
    <x v="1"/>
    <n v="4"/>
    <x v="0"/>
    <s v="Low"/>
    <s v="Yes"/>
  </r>
  <r>
    <n v="327"/>
    <n v="67"/>
    <x v="1"/>
    <x v="11"/>
    <s v="Radiation Therapy"/>
    <n v="20000"/>
    <n v="30"/>
    <x v="0"/>
    <x v="0"/>
    <n v="3"/>
    <x v="1"/>
    <s v="High"/>
    <s v="No"/>
  </r>
  <r>
    <n v="328"/>
    <n v="35"/>
    <x v="0"/>
    <x v="12"/>
    <s v="Delivery and Postnatal Care"/>
    <n v="12000"/>
    <n v="24"/>
    <x v="0"/>
    <x v="0"/>
    <n v="4"/>
    <x v="2"/>
    <s v="High"/>
    <s v="Yes"/>
  </r>
  <r>
    <n v="329"/>
    <n v="50"/>
    <x v="1"/>
    <x v="13"/>
    <s v="Lithotripsy"/>
    <n v="6000"/>
    <n v="25"/>
    <x v="0"/>
    <x v="0"/>
    <n v="3"/>
    <x v="0"/>
    <s v="Medium"/>
    <s v="No"/>
  </r>
  <r>
    <n v="330"/>
    <n v="60"/>
    <x v="0"/>
    <x v="14"/>
    <s v="Physical Therapy and Pain Management"/>
    <n v="4000"/>
    <n v="26"/>
    <x v="0"/>
    <x v="1"/>
    <n v="4"/>
    <x v="1"/>
    <s v="Medium"/>
    <s v="Yes"/>
  </r>
  <r>
    <n v="331"/>
    <n v="48"/>
    <x v="0"/>
    <x v="0"/>
    <s v="Angioplasty"/>
    <n v="15000"/>
    <n v="27"/>
    <x v="1"/>
    <x v="0"/>
    <n v="4"/>
    <x v="0"/>
    <s v="High"/>
    <s v="Yes"/>
  </r>
  <r>
    <n v="332"/>
    <n v="65"/>
    <x v="1"/>
    <x v="1"/>
    <s v="Insulin Therapy"/>
    <n v="2000"/>
    <n v="25"/>
    <x v="0"/>
    <x v="1"/>
    <n v="3"/>
    <x v="1"/>
    <s v="Medium"/>
    <s v="No"/>
  </r>
  <r>
    <n v="333"/>
    <n v="30"/>
    <x v="0"/>
    <x v="2"/>
    <s v="X-Ray and Splint"/>
    <n v="500"/>
    <n v="23"/>
    <x v="0"/>
    <x v="0"/>
    <n v="5"/>
    <x v="2"/>
    <s v="Low"/>
    <s v="Yes"/>
  </r>
  <r>
    <n v="334"/>
    <n v="70"/>
    <x v="1"/>
    <x v="3"/>
    <s v="CT Scan and Medication"/>
    <n v="10000"/>
    <n v="29"/>
    <x v="1"/>
    <x v="1"/>
    <n v="2"/>
    <x v="1"/>
    <s v="High"/>
    <s v="No"/>
  </r>
  <r>
    <n v="335"/>
    <n v="55"/>
    <x v="0"/>
    <x v="4"/>
    <s v="Surgery and Chemotherapy"/>
    <n v="25000"/>
    <n v="32"/>
    <x v="0"/>
    <x v="0"/>
    <n v="4"/>
    <x v="0"/>
    <s v="High"/>
    <s v="Yes"/>
  </r>
  <r>
    <n v="336"/>
    <n v="68"/>
    <x v="1"/>
    <x v="5"/>
    <s v="Medication and Counseling"/>
    <n v="1000"/>
    <n v="24"/>
    <x v="0"/>
    <x v="1"/>
    <n v="4"/>
    <x v="1"/>
    <s v="Low"/>
    <s v="Yes"/>
  </r>
  <r>
    <n v="337"/>
    <n v="45"/>
    <x v="0"/>
    <x v="6"/>
    <s v="Appendectomy"/>
    <n v="8000"/>
    <n v="26"/>
    <x v="0"/>
    <x v="0"/>
    <n v="3"/>
    <x v="0"/>
    <s v="Medium"/>
    <s v="No"/>
  </r>
  <r>
    <n v="338"/>
    <n v="40"/>
    <x v="1"/>
    <x v="7"/>
    <s v="Cast and Physical Therapy"/>
    <n v="3000"/>
    <n v="28"/>
    <x v="0"/>
    <x v="0"/>
    <n v="4"/>
    <x v="2"/>
    <s v="Medium"/>
    <s v="Yes"/>
  </r>
  <r>
    <n v="339"/>
    <n v="78"/>
    <x v="0"/>
    <x v="8"/>
    <s v="Cardiac Catheterization"/>
    <n v="18000"/>
    <n v="30"/>
    <x v="1"/>
    <x v="1"/>
    <n v="2"/>
    <x v="3"/>
    <s v="High"/>
    <s v="No"/>
  </r>
  <r>
    <n v="340"/>
    <n v="25"/>
    <x v="1"/>
    <x v="9"/>
    <s v="Epinephrine Injection"/>
    <n v="100"/>
    <n v="23"/>
    <x v="0"/>
    <x v="0"/>
    <n v="5"/>
    <x v="4"/>
    <s v="Low"/>
    <s v="Yes"/>
  </r>
  <r>
    <n v="341"/>
    <n v="52"/>
    <x v="0"/>
    <x v="10"/>
    <s v="Antibiotics and Rest"/>
    <n v="800"/>
    <n v="24"/>
    <x v="0"/>
    <x v="1"/>
    <n v="4"/>
    <x v="0"/>
    <s v="Low"/>
    <s v="Yes"/>
  </r>
  <r>
    <n v="342"/>
    <n v="58"/>
    <x v="1"/>
    <x v="11"/>
    <s v="Radiation Therapy"/>
    <n v="20000"/>
    <n v="31"/>
    <x v="0"/>
    <x v="0"/>
    <n v="3"/>
    <x v="0"/>
    <s v="High"/>
    <s v="No"/>
  </r>
  <r>
    <n v="343"/>
    <n v="32"/>
    <x v="0"/>
    <x v="12"/>
    <s v="Delivery and Postnatal Care"/>
    <n v="12000"/>
    <n v="25"/>
    <x v="0"/>
    <x v="0"/>
    <n v="4"/>
    <x v="2"/>
    <s v="High"/>
    <s v="Yes"/>
  </r>
  <r>
    <n v="344"/>
    <n v="55"/>
    <x v="1"/>
    <x v="13"/>
    <s v="Lithotripsy"/>
    <n v="6000"/>
    <n v="26"/>
    <x v="0"/>
    <x v="0"/>
    <n v="3"/>
    <x v="0"/>
    <s v="Medium"/>
    <s v="No"/>
  </r>
  <r>
    <n v="345"/>
    <n v="65"/>
    <x v="0"/>
    <x v="14"/>
    <s v="Physical Therapy and Pain Management"/>
    <n v="4000"/>
    <n v="27"/>
    <x v="0"/>
    <x v="1"/>
    <n v="4"/>
    <x v="1"/>
    <s v="Medium"/>
    <s v="Yes"/>
  </r>
  <r>
    <n v="346"/>
    <n v="55"/>
    <x v="0"/>
    <x v="0"/>
    <s v="Angioplasty"/>
    <n v="15000"/>
    <n v="28"/>
    <x v="1"/>
    <x v="0"/>
    <n v="3"/>
    <x v="0"/>
    <s v="High"/>
    <s v="No"/>
  </r>
  <r>
    <n v="347"/>
    <n v="62"/>
    <x v="1"/>
    <x v="1"/>
    <s v="Insulin Therapy"/>
    <n v="2000"/>
    <n v="26"/>
    <x v="0"/>
    <x v="1"/>
    <n v="4"/>
    <x v="1"/>
    <s v="Medium"/>
    <s v="Yes"/>
  </r>
  <r>
    <n v="348"/>
    <n v="35"/>
    <x v="0"/>
    <x v="2"/>
    <s v="X-Ray and Splint"/>
    <n v="500"/>
    <n v="24"/>
    <x v="1"/>
    <x v="0"/>
    <n v="5"/>
    <x v="2"/>
    <s v="Low"/>
    <s v="Yes"/>
  </r>
  <r>
    <n v="349"/>
    <n v="78"/>
    <x v="1"/>
    <x v="3"/>
    <s v="CT Scan and Medication"/>
    <n v="10000"/>
    <n v="30"/>
    <x v="0"/>
    <x v="1"/>
    <n v="2"/>
    <x v="3"/>
    <s v="High"/>
    <s v="No"/>
  </r>
  <r>
    <n v="350"/>
    <n v="53"/>
    <x v="0"/>
    <x v="4"/>
    <s v="Surgery and Chemotherapy"/>
    <n v="25000"/>
    <n v="33"/>
    <x v="1"/>
    <x v="0"/>
    <n v="4"/>
    <x v="0"/>
    <s v="High"/>
    <s v="Yes"/>
  </r>
  <r>
    <n v="351"/>
    <n v="72"/>
    <x v="1"/>
    <x v="5"/>
    <s v="Medication and Counseling"/>
    <n v="1000"/>
    <n v="25"/>
    <x v="0"/>
    <x v="1"/>
    <n v="4"/>
    <x v="1"/>
    <s v="Low"/>
    <s v="Yes"/>
  </r>
  <r>
    <n v="352"/>
    <n v="60"/>
    <x v="0"/>
    <x v="6"/>
    <s v="Appendectomy"/>
    <n v="8000"/>
    <n v="27"/>
    <x v="1"/>
    <x v="0"/>
    <n v="3"/>
    <x v="1"/>
    <s v="Medium"/>
    <s v="No"/>
  </r>
  <r>
    <n v="353"/>
    <n v="45"/>
    <x v="1"/>
    <x v="7"/>
    <s v="Cast and Physical Therapy"/>
    <n v="3000"/>
    <n v="29"/>
    <x v="0"/>
    <x v="0"/>
    <n v="4"/>
    <x v="0"/>
    <s v="Medium"/>
    <s v="Yes"/>
  </r>
  <r>
    <n v="354"/>
    <n v="75"/>
    <x v="0"/>
    <x v="8"/>
    <s v="Cardiac Catheterization"/>
    <n v="18000"/>
    <n v="31"/>
    <x v="1"/>
    <x v="1"/>
    <n v="2"/>
    <x v="3"/>
    <s v="High"/>
    <s v="No"/>
  </r>
  <r>
    <n v="355"/>
    <n v="28"/>
    <x v="1"/>
    <x v="9"/>
    <s v="Epinephrine Injection"/>
    <n v="100"/>
    <n v="24"/>
    <x v="0"/>
    <x v="0"/>
    <n v="5"/>
    <x v="4"/>
    <s v="Low"/>
    <s v="Yes"/>
  </r>
  <r>
    <n v="357"/>
    <n v="67"/>
    <x v="1"/>
    <x v="11"/>
    <s v="Radiation Therapy"/>
    <n v="20000"/>
    <n v="32"/>
    <x v="0"/>
    <x v="0"/>
    <n v="3"/>
    <x v="1"/>
    <s v="High"/>
    <s v="No"/>
  </r>
  <r>
    <n v="358"/>
    <n v="35"/>
    <x v="0"/>
    <x v="12"/>
    <s v="Delivery and Postnatal Care"/>
    <n v="12000"/>
    <n v="26"/>
    <x v="0"/>
    <x v="0"/>
    <n v="4"/>
    <x v="2"/>
    <s v="High"/>
    <s v="Yes"/>
  </r>
  <r>
    <n v="359"/>
    <n v="50"/>
    <x v="1"/>
    <x v="13"/>
    <s v="Lithotripsy"/>
    <n v="6000"/>
    <n v="27"/>
    <x v="0"/>
    <x v="0"/>
    <n v="3"/>
    <x v="0"/>
    <s v="Medium"/>
    <s v="No"/>
  </r>
  <r>
    <n v="360"/>
    <n v="60"/>
    <x v="0"/>
    <x v="14"/>
    <s v="Physical Therapy and Pain Management"/>
    <n v="4000"/>
    <n v="28"/>
    <x v="0"/>
    <x v="1"/>
    <n v="4"/>
    <x v="1"/>
    <s v="Medium"/>
    <s v="Yes"/>
  </r>
  <r>
    <n v="361"/>
    <n v="48"/>
    <x v="0"/>
    <x v="0"/>
    <s v="Angioplasty"/>
    <n v="15000"/>
    <n v="29"/>
    <x v="1"/>
    <x v="0"/>
    <n v="4"/>
    <x v="0"/>
    <s v="High"/>
    <s v="Yes"/>
  </r>
  <r>
    <n v="362"/>
    <n v="65"/>
    <x v="1"/>
    <x v="1"/>
    <s v="Insulin Therapy"/>
    <n v="2000"/>
    <n v="27"/>
    <x v="0"/>
    <x v="1"/>
    <n v="3"/>
    <x v="1"/>
    <s v="Medium"/>
    <s v="No"/>
  </r>
  <r>
    <n v="363"/>
    <n v="30"/>
    <x v="0"/>
    <x v="2"/>
    <s v="X-Ray and Splint"/>
    <n v="500"/>
    <n v="25"/>
    <x v="0"/>
    <x v="0"/>
    <n v="5"/>
    <x v="2"/>
    <s v="Low"/>
    <s v="Yes"/>
  </r>
  <r>
    <n v="364"/>
    <n v="70"/>
    <x v="1"/>
    <x v="3"/>
    <s v="CT Scan and Medication"/>
    <n v="10000"/>
    <n v="31"/>
    <x v="1"/>
    <x v="1"/>
    <n v="2"/>
    <x v="1"/>
    <s v="High"/>
    <s v="No"/>
  </r>
  <r>
    <n v="365"/>
    <n v="55"/>
    <x v="0"/>
    <x v="4"/>
    <s v="Surgery and Chemotherapy"/>
    <n v="25000"/>
    <n v="34"/>
    <x v="0"/>
    <x v="0"/>
    <n v="4"/>
    <x v="0"/>
    <s v="High"/>
    <s v="Yes"/>
  </r>
  <r>
    <n v="366"/>
    <n v="68"/>
    <x v="1"/>
    <x v="5"/>
    <s v="Medication and Counseling"/>
    <n v="1000"/>
    <n v="26"/>
    <x v="0"/>
    <x v="1"/>
    <n v="4"/>
    <x v="1"/>
    <s v="Low"/>
    <s v="Yes"/>
  </r>
  <r>
    <n v="367"/>
    <n v="45"/>
    <x v="0"/>
    <x v="6"/>
    <s v="Appendectomy"/>
    <n v="8000"/>
    <n v="28"/>
    <x v="0"/>
    <x v="0"/>
    <n v="3"/>
    <x v="0"/>
    <s v="Medium"/>
    <s v="No"/>
  </r>
  <r>
    <n v="368"/>
    <n v="40"/>
    <x v="1"/>
    <x v="7"/>
    <s v="Cast and Physical Therapy"/>
    <n v="3000"/>
    <n v="30"/>
    <x v="0"/>
    <x v="0"/>
    <n v="4"/>
    <x v="2"/>
    <s v="Medium"/>
    <s v="Yes"/>
  </r>
  <r>
    <n v="369"/>
    <n v="78"/>
    <x v="0"/>
    <x v="8"/>
    <s v="Cardiac Catheterization"/>
    <n v="18000"/>
    <n v="32"/>
    <x v="1"/>
    <x v="1"/>
    <n v="2"/>
    <x v="3"/>
    <s v="High"/>
    <s v="No"/>
  </r>
  <r>
    <n v="370"/>
    <n v="25"/>
    <x v="1"/>
    <x v="9"/>
    <s v="Epinephrine Injection"/>
    <n v="100"/>
    <n v="25"/>
    <x v="0"/>
    <x v="0"/>
    <n v="5"/>
    <x v="4"/>
    <s v="Low"/>
    <s v="Yes"/>
  </r>
  <r>
    <n v="371"/>
    <n v="52"/>
    <x v="0"/>
    <x v="10"/>
    <s v="Antibiotics and Rest"/>
    <n v="800"/>
    <n v="26"/>
    <x v="0"/>
    <x v="1"/>
    <n v="4"/>
    <x v="0"/>
    <s v="Low"/>
    <s v="Yes"/>
  </r>
  <r>
    <n v="372"/>
    <n v="58"/>
    <x v="1"/>
    <x v="11"/>
    <s v="Radiation Therapy"/>
    <n v="20000"/>
    <n v="33"/>
    <x v="0"/>
    <x v="0"/>
    <n v="3"/>
    <x v="0"/>
    <s v="High"/>
    <s v="No"/>
  </r>
  <r>
    <n v="373"/>
    <n v="32"/>
    <x v="0"/>
    <x v="12"/>
    <s v="Delivery and Postnatal Care"/>
    <n v="12000"/>
    <n v="27"/>
    <x v="0"/>
    <x v="0"/>
    <n v="4"/>
    <x v="2"/>
    <s v="High"/>
    <s v="Yes"/>
  </r>
  <r>
    <n v="374"/>
    <n v="55"/>
    <x v="1"/>
    <x v="13"/>
    <s v="Lithotripsy"/>
    <n v="6000"/>
    <n v="28"/>
    <x v="0"/>
    <x v="0"/>
    <n v="3"/>
    <x v="0"/>
    <s v="Medium"/>
    <s v="No"/>
  </r>
  <r>
    <n v="375"/>
    <n v="65"/>
    <x v="0"/>
    <x v="14"/>
    <s v="Physical Therapy and Pain Management"/>
    <n v="4000"/>
    <n v="29"/>
    <x v="0"/>
    <x v="1"/>
    <n v="4"/>
    <x v="1"/>
    <s v="Medium"/>
    <s v="Yes"/>
  </r>
  <r>
    <n v="376"/>
    <n v="55"/>
    <x v="0"/>
    <x v="0"/>
    <s v="Angioplasty"/>
    <n v="15000"/>
    <n v="30"/>
    <x v="1"/>
    <x v="0"/>
    <n v="3"/>
    <x v="0"/>
    <s v="High"/>
    <s v="No"/>
  </r>
  <r>
    <n v="377"/>
    <n v="62"/>
    <x v="1"/>
    <x v="1"/>
    <s v="Insulin Therapy"/>
    <n v="2000"/>
    <n v="28"/>
    <x v="0"/>
    <x v="1"/>
    <n v="4"/>
    <x v="1"/>
    <s v="Medium"/>
    <s v="Yes"/>
  </r>
  <r>
    <n v="378"/>
    <n v="35"/>
    <x v="0"/>
    <x v="2"/>
    <s v="X-Ray and Splint"/>
    <n v="500"/>
    <n v="26"/>
    <x v="1"/>
    <x v="0"/>
    <n v="5"/>
    <x v="2"/>
    <s v="Low"/>
    <s v="Yes"/>
  </r>
  <r>
    <n v="379"/>
    <n v="78"/>
    <x v="1"/>
    <x v="3"/>
    <s v="CT Scan and Medication"/>
    <n v="10000"/>
    <n v="33"/>
    <x v="0"/>
    <x v="1"/>
    <n v="2"/>
    <x v="3"/>
    <s v="High"/>
    <s v="No"/>
  </r>
  <r>
    <n v="380"/>
    <n v="53"/>
    <x v="0"/>
    <x v="4"/>
    <s v="Surgery and Chemotherapy"/>
    <n v="25000"/>
    <n v="35"/>
    <x v="1"/>
    <x v="0"/>
    <n v="4"/>
    <x v="0"/>
    <s v="High"/>
    <s v="Yes"/>
  </r>
  <r>
    <n v="381"/>
    <n v="72"/>
    <x v="1"/>
    <x v="5"/>
    <s v="Medication and Counseling"/>
    <n v="1000"/>
    <n v="27"/>
    <x v="0"/>
    <x v="1"/>
    <n v="4"/>
    <x v="1"/>
    <s v="Low"/>
    <s v="Yes"/>
  </r>
  <r>
    <n v="382"/>
    <n v="60"/>
    <x v="0"/>
    <x v="6"/>
    <s v="Appendectomy"/>
    <n v="8000"/>
    <n v="29"/>
    <x v="1"/>
    <x v="0"/>
    <n v="3"/>
    <x v="1"/>
    <s v="Medium"/>
    <s v="No"/>
  </r>
  <r>
    <n v="383"/>
    <n v="45"/>
    <x v="1"/>
    <x v="7"/>
    <s v="Cast and Physical Therapy"/>
    <n v="3000"/>
    <n v="31"/>
    <x v="0"/>
    <x v="0"/>
    <n v="4"/>
    <x v="0"/>
    <s v="Medium"/>
    <s v="Yes"/>
  </r>
  <r>
    <n v="384"/>
    <n v="75"/>
    <x v="0"/>
    <x v="8"/>
    <s v="Cardiac Catheterization"/>
    <n v="18000"/>
    <n v="33"/>
    <x v="1"/>
    <x v="1"/>
    <n v="2"/>
    <x v="3"/>
    <s v="High"/>
    <s v="No"/>
  </r>
  <r>
    <n v="385"/>
    <n v="28"/>
    <x v="1"/>
    <x v="9"/>
    <s v="Epinephrine Injection"/>
    <n v="100"/>
    <n v="26"/>
    <x v="0"/>
    <x v="0"/>
    <n v="5"/>
    <x v="4"/>
    <s v="Low"/>
    <s v="Yes"/>
  </r>
  <r>
    <n v="386"/>
    <n v="52"/>
    <x v="0"/>
    <x v="10"/>
    <s v="Antibiotics and Rest"/>
    <n v="800"/>
    <n v="27"/>
    <x v="0"/>
    <x v="1"/>
    <n v="4"/>
    <x v="0"/>
    <s v="Low"/>
    <s v="Yes"/>
  </r>
  <r>
    <n v="387"/>
    <n v="67"/>
    <x v="1"/>
    <x v="11"/>
    <s v="Radiation Therapy"/>
    <n v="20000"/>
    <n v="34"/>
    <x v="0"/>
    <x v="0"/>
    <n v="3"/>
    <x v="1"/>
    <s v="High"/>
    <s v="No"/>
  </r>
  <r>
    <n v="388"/>
    <n v="35"/>
    <x v="0"/>
    <x v="12"/>
    <s v="Delivery and Postnatal Care"/>
    <n v="12000"/>
    <n v="28"/>
    <x v="0"/>
    <x v="0"/>
    <n v="4"/>
    <x v="2"/>
    <s v="High"/>
    <s v="Yes"/>
  </r>
  <r>
    <n v="389"/>
    <n v="50"/>
    <x v="1"/>
    <x v="13"/>
    <s v="Lithotripsy"/>
    <n v="6000"/>
    <n v="29"/>
    <x v="0"/>
    <x v="0"/>
    <n v="3"/>
    <x v="0"/>
    <s v="Medium"/>
    <s v="No"/>
  </r>
  <r>
    <n v="390"/>
    <n v="60"/>
    <x v="0"/>
    <x v="14"/>
    <s v="Physical Therapy and Pain Management"/>
    <n v="4000"/>
    <n v="30"/>
    <x v="0"/>
    <x v="1"/>
    <n v="4"/>
    <x v="1"/>
    <s v="Medium"/>
    <s v="Yes"/>
  </r>
  <r>
    <n v="391"/>
    <n v="48"/>
    <x v="0"/>
    <x v="0"/>
    <s v="Angioplasty"/>
    <n v="15000"/>
    <n v="31"/>
    <x v="1"/>
    <x v="0"/>
    <n v="4"/>
    <x v="0"/>
    <s v="High"/>
    <s v="Yes"/>
  </r>
  <r>
    <n v="392"/>
    <n v="65"/>
    <x v="1"/>
    <x v="1"/>
    <s v="Insulin Therapy"/>
    <n v="2000"/>
    <n v="29"/>
    <x v="0"/>
    <x v="1"/>
    <n v="3"/>
    <x v="1"/>
    <s v="Medium"/>
    <s v="No"/>
  </r>
  <r>
    <n v="393"/>
    <n v="30"/>
    <x v="0"/>
    <x v="2"/>
    <s v="X-Ray and Splint"/>
    <n v="500"/>
    <n v="27"/>
    <x v="0"/>
    <x v="0"/>
    <n v="5"/>
    <x v="2"/>
    <s v="Low"/>
    <s v="Yes"/>
  </r>
  <r>
    <n v="394"/>
    <n v="70"/>
    <x v="1"/>
    <x v="3"/>
    <s v="CT Scan and Medication"/>
    <n v="10000"/>
    <n v="34"/>
    <x v="1"/>
    <x v="1"/>
    <n v="2"/>
    <x v="1"/>
    <s v="High"/>
    <s v="No"/>
  </r>
  <r>
    <n v="395"/>
    <n v="55"/>
    <x v="0"/>
    <x v="4"/>
    <s v="Surgery and Chemotherapy"/>
    <n v="25000"/>
    <n v="36"/>
    <x v="0"/>
    <x v="0"/>
    <n v="4"/>
    <x v="0"/>
    <s v="High"/>
    <s v="Yes"/>
  </r>
  <r>
    <n v="396"/>
    <n v="68"/>
    <x v="1"/>
    <x v="5"/>
    <s v="Medication and Counseling"/>
    <n v="1000"/>
    <n v="28"/>
    <x v="0"/>
    <x v="1"/>
    <n v="4"/>
    <x v="1"/>
    <s v="Low"/>
    <s v="Yes"/>
  </r>
  <r>
    <n v="397"/>
    <n v="45"/>
    <x v="0"/>
    <x v="6"/>
    <s v="Appendectomy"/>
    <n v="8000"/>
    <n v="30"/>
    <x v="0"/>
    <x v="0"/>
    <n v="3"/>
    <x v="0"/>
    <s v="Medium"/>
    <s v="No"/>
  </r>
  <r>
    <n v="398"/>
    <n v="40"/>
    <x v="1"/>
    <x v="7"/>
    <s v="Cast and Physical Therapy"/>
    <n v="3000"/>
    <n v="32"/>
    <x v="0"/>
    <x v="0"/>
    <n v="4"/>
    <x v="2"/>
    <s v="Medium"/>
    <s v="Yes"/>
  </r>
  <r>
    <n v="399"/>
    <n v="78"/>
    <x v="0"/>
    <x v="8"/>
    <s v="Cardiac Catheterization"/>
    <n v="18000"/>
    <n v="34"/>
    <x v="1"/>
    <x v="1"/>
    <n v="2"/>
    <x v="3"/>
    <s v="High"/>
    <s v="No"/>
  </r>
  <r>
    <n v="400"/>
    <n v="25"/>
    <x v="1"/>
    <x v="9"/>
    <s v="Epinephrine Injection"/>
    <n v="100"/>
    <n v="27"/>
    <x v="0"/>
    <x v="0"/>
    <n v="5"/>
    <x v="4"/>
    <s v="Low"/>
    <s v="Yes"/>
  </r>
  <r>
    <n v="401"/>
    <n v="52"/>
    <x v="0"/>
    <x v="10"/>
    <s v="Antibiotics and Rest"/>
    <n v="800"/>
    <n v="28"/>
    <x v="0"/>
    <x v="1"/>
    <n v="4"/>
    <x v="0"/>
    <s v="Low"/>
    <s v="Yes"/>
  </r>
  <r>
    <n v="402"/>
    <n v="58"/>
    <x v="1"/>
    <x v="11"/>
    <s v="Radiation Therapy"/>
    <n v="20000"/>
    <n v="35"/>
    <x v="0"/>
    <x v="0"/>
    <n v="3"/>
    <x v="0"/>
    <s v="High"/>
    <s v="No"/>
  </r>
  <r>
    <n v="403"/>
    <n v="32"/>
    <x v="0"/>
    <x v="12"/>
    <s v="Delivery and Postnatal Care"/>
    <n v="12000"/>
    <n v="29"/>
    <x v="0"/>
    <x v="0"/>
    <n v="4"/>
    <x v="2"/>
    <s v="High"/>
    <s v="Yes"/>
  </r>
  <r>
    <n v="404"/>
    <n v="55"/>
    <x v="1"/>
    <x v="13"/>
    <s v="Lithotripsy"/>
    <n v="6000"/>
    <n v="30"/>
    <x v="0"/>
    <x v="0"/>
    <n v="3"/>
    <x v="0"/>
    <s v="Medium"/>
    <s v="No"/>
  </r>
  <r>
    <n v="405"/>
    <n v="65"/>
    <x v="0"/>
    <x v="14"/>
    <s v="Physical Therapy and Pain Management"/>
    <n v="4000"/>
    <n v="31"/>
    <x v="0"/>
    <x v="1"/>
    <n v="4"/>
    <x v="1"/>
    <s v="Medium"/>
    <s v="Yes"/>
  </r>
  <r>
    <n v="406"/>
    <n v="55"/>
    <x v="0"/>
    <x v="0"/>
    <s v="Angioplasty"/>
    <n v="15000"/>
    <n v="32"/>
    <x v="1"/>
    <x v="0"/>
    <n v="3"/>
    <x v="0"/>
    <s v="High"/>
    <s v="No"/>
  </r>
  <r>
    <n v="407"/>
    <n v="62"/>
    <x v="1"/>
    <x v="1"/>
    <s v="Insulin Therapy"/>
    <n v="2000"/>
    <n v="30"/>
    <x v="0"/>
    <x v="1"/>
    <n v="4"/>
    <x v="1"/>
    <s v="Medium"/>
    <s v="Yes"/>
  </r>
  <r>
    <n v="408"/>
    <n v="35"/>
    <x v="0"/>
    <x v="2"/>
    <s v="X-Ray and Splint"/>
    <n v="500"/>
    <n v="28"/>
    <x v="1"/>
    <x v="0"/>
    <n v="5"/>
    <x v="2"/>
    <s v="Low"/>
    <s v="Yes"/>
  </r>
  <r>
    <n v="409"/>
    <n v="78"/>
    <x v="1"/>
    <x v="3"/>
    <s v="CT Scan and Medication"/>
    <n v="10000"/>
    <n v="35"/>
    <x v="0"/>
    <x v="1"/>
    <n v="2"/>
    <x v="3"/>
    <s v="High"/>
    <s v="No"/>
  </r>
  <r>
    <n v="410"/>
    <n v="53"/>
    <x v="0"/>
    <x v="4"/>
    <s v="Surgery and Chemotherapy"/>
    <n v="25000"/>
    <n v="37"/>
    <x v="1"/>
    <x v="0"/>
    <n v="4"/>
    <x v="0"/>
    <s v="High"/>
    <s v="Yes"/>
  </r>
  <r>
    <n v="411"/>
    <n v="72"/>
    <x v="1"/>
    <x v="5"/>
    <s v="Medication and Counseling"/>
    <n v="1000"/>
    <n v="29"/>
    <x v="0"/>
    <x v="1"/>
    <n v="4"/>
    <x v="1"/>
    <s v="Low"/>
    <s v="Yes"/>
  </r>
  <r>
    <n v="412"/>
    <n v="60"/>
    <x v="0"/>
    <x v="6"/>
    <s v="Appendectomy"/>
    <n v="8000"/>
    <n v="31"/>
    <x v="1"/>
    <x v="0"/>
    <n v="3"/>
    <x v="1"/>
    <s v="Medium"/>
    <s v="No"/>
  </r>
  <r>
    <n v="413"/>
    <n v="45"/>
    <x v="1"/>
    <x v="7"/>
    <s v="Cast and Physical Therapy"/>
    <n v="3000"/>
    <n v="33"/>
    <x v="0"/>
    <x v="0"/>
    <n v="4"/>
    <x v="0"/>
    <s v="Medium"/>
    <s v="Yes"/>
  </r>
  <r>
    <n v="414"/>
    <n v="75"/>
    <x v="0"/>
    <x v="8"/>
    <s v="Cardiac Catheterization"/>
    <n v="18000"/>
    <n v="35"/>
    <x v="1"/>
    <x v="1"/>
    <n v="2"/>
    <x v="3"/>
    <s v="High"/>
    <s v="No"/>
  </r>
  <r>
    <n v="415"/>
    <n v="28"/>
    <x v="1"/>
    <x v="9"/>
    <s v="Epinephrine Injection"/>
    <n v="100"/>
    <n v="28"/>
    <x v="0"/>
    <x v="0"/>
    <n v="5"/>
    <x v="4"/>
    <s v="Low"/>
    <s v="Yes"/>
  </r>
  <r>
    <n v="416"/>
    <n v="52"/>
    <x v="0"/>
    <x v="10"/>
    <s v="Antibiotics and Rest"/>
    <n v="800"/>
    <n v="29"/>
    <x v="0"/>
    <x v="1"/>
    <n v="4"/>
    <x v="0"/>
    <s v="Low"/>
    <s v="Yes"/>
  </r>
  <r>
    <n v="418"/>
    <n v="35"/>
    <x v="0"/>
    <x v="12"/>
    <s v="Delivery and Postnatal Care"/>
    <n v="12000"/>
    <n v="30"/>
    <x v="0"/>
    <x v="0"/>
    <n v="4"/>
    <x v="2"/>
    <s v="High"/>
    <s v="Yes"/>
  </r>
  <r>
    <n v="419"/>
    <n v="50"/>
    <x v="1"/>
    <x v="13"/>
    <s v="Lithotripsy"/>
    <n v="6000"/>
    <n v="31"/>
    <x v="0"/>
    <x v="0"/>
    <n v="3"/>
    <x v="0"/>
    <s v="Medium"/>
    <s v="No"/>
  </r>
  <r>
    <n v="420"/>
    <n v="60"/>
    <x v="0"/>
    <x v="14"/>
    <s v="Physical Therapy and Pain Management"/>
    <n v="4000"/>
    <n v="32"/>
    <x v="0"/>
    <x v="1"/>
    <n v="4"/>
    <x v="1"/>
    <s v="Medium"/>
    <s v="Yes"/>
  </r>
  <r>
    <n v="421"/>
    <n v="48"/>
    <x v="0"/>
    <x v="0"/>
    <s v="Angioplasty"/>
    <n v="15000"/>
    <n v="33"/>
    <x v="1"/>
    <x v="0"/>
    <n v="4"/>
    <x v="0"/>
    <s v="High"/>
    <s v="Yes"/>
  </r>
  <r>
    <n v="422"/>
    <n v="65"/>
    <x v="1"/>
    <x v="1"/>
    <s v="Insulin Therapy"/>
    <n v="2000"/>
    <n v="31"/>
    <x v="0"/>
    <x v="1"/>
    <n v="3"/>
    <x v="1"/>
    <s v="Medium"/>
    <s v="No"/>
  </r>
  <r>
    <n v="423"/>
    <n v="30"/>
    <x v="0"/>
    <x v="2"/>
    <s v="X-Ray and Splint"/>
    <n v="500"/>
    <n v="29"/>
    <x v="0"/>
    <x v="0"/>
    <n v="5"/>
    <x v="2"/>
    <s v="Low"/>
    <s v="Yes"/>
  </r>
  <r>
    <n v="424"/>
    <n v="70"/>
    <x v="1"/>
    <x v="3"/>
    <s v="CT Scan and Medication"/>
    <n v="10000"/>
    <n v="36"/>
    <x v="1"/>
    <x v="1"/>
    <n v="2"/>
    <x v="1"/>
    <s v="High"/>
    <s v="No"/>
  </r>
  <r>
    <n v="425"/>
    <n v="55"/>
    <x v="0"/>
    <x v="4"/>
    <s v="Surgery and Chemotherapy"/>
    <n v="25000"/>
    <n v="38"/>
    <x v="0"/>
    <x v="0"/>
    <n v="4"/>
    <x v="0"/>
    <s v="High"/>
    <s v="Yes"/>
  </r>
  <r>
    <n v="426"/>
    <n v="68"/>
    <x v="1"/>
    <x v="5"/>
    <s v="Medication and Counseling"/>
    <n v="1000"/>
    <n v="30"/>
    <x v="0"/>
    <x v="1"/>
    <n v="4"/>
    <x v="1"/>
    <s v="Low"/>
    <s v="Yes"/>
  </r>
  <r>
    <n v="427"/>
    <n v="45"/>
    <x v="0"/>
    <x v="6"/>
    <s v="Appendectomy"/>
    <n v="8000"/>
    <n v="32"/>
    <x v="0"/>
    <x v="0"/>
    <n v="3"/>
    <x v="0"/>
    <s v="Medium"/>
    <s v="No"/>
  </r>
  <r>
    <n v="428"/>
    <n v="40"/>
    <x v="1"/>
    <x v="7"/>
    <s v="Cast and Physical Therapy"/>
    <n v="3000"/>
    <n v="34"/>
    <x v="0"/>
    <x v="0"/>
    <n v="4"/>
    <x v="2"/>
    <s v="Medium"/>
    <s v="Yes"/>
  </r>
  <r>
    <n v="429"/>
    <n v="78"/>
    <x v="0"/>
    <x v="8"/>
    <s v="Cardiac Catheterization"/>
    <n v="18000"/>
    <n v="36"/>
    <x v="1"/>
    <x v="1"/>
    <n v="2"/>
    <x v="3"/>
    <s v="High"/>
    <s v="No"/>
  </r>
  <r>
    <n v="430"/>
    <n v="25"/>
    <x v="1"/>
    <x v="9"/>
    <s v="Epinephrine Injection"/>
    <n v="100"/>
    <n v="29"/>
    <x v="0"/>
    <x v="0"/>
    <n v="5"/>
    <x v="4"/>
    <s v="Low"/>
    <s v="Yes"/>
  </r>
  <r>
    <n v="431"/>
    <n v="52"/>
    <x v="0"/>
    <x v="10"/>
    <s v="Antibiotics and Rest"/>
    <n v="800"/>
    <n v="30"/>
    <x v="0"/>
    <x v="1"/>
    <n v="4"/>
    <x v="0"/>
    <s v="Low"/>
    <s v="Yes"/>
  </r>
  <r>
    <n v="432"/>
    <n v="58"/>
    <x v="1"/>
    <x v="11"/>
    <s v="Radiation Therapy"/>
    <n v="20000"/>
    <n v="37"/>
    <x v="0"/>
    <x v="0"/>
    <n v="3"/>
    <x v="0"/>
    <s v="High"/>
    <s v="No"/>
  </r>
  <r>
    <n v="433"/>
    <n v="32"/>
    <x v="0"/>
    <x v="12"/>
    <s v="Delivery and Postnatal Care"/>
    <n v="12000"/>
    <n v="31"/>
    <x v="0"/>
    <x v="0"/>
    <n v="4"/>
    <x v="2"/>
    <s v="High"/>
    <s v="Yes"/>
  </r>
  <r>
    <n v="434"/>
    <n v="55"/>
    <x v="1"/>
    <x v="13"/>
    <s v="Lithotripsy"/>
    <n v="6000"/>
    <n v="32"/>
    <x v="0"/>
    <x v="0"/>
    <n v="3"/>
    <x v="0"/>
    <s v="Medium"/>
    <s v="No"/>
  </r>
  <r>
    <n v="435"/>
    <n v="65"/>
    <x v="0"/>
    <x v="14"/>
    <s v="Physical Therapy and Pain Management"/>
    <n v="4000"/>
    <n v="33"/>
    <x v="0"/>
    <x v="1"/>
    <n v="4"/>
    <x v="1"/>
    <s v="Medium"/>
    <s v="Yes"/>
  </r>
  <r>
    <n v="436"/>
    <n v="55"/>
    <x v="0"/>
    <x v="0"/>
    <s v="Angioplasty"/>
    <n v="15000"/>
    <n v="34"/>
    <x v="1"/>
    <x v="0"/>
    <n v="3"/>
    <x v="0"/>
    <s v="High"/>
    <s v="No"/>
  </r>
  <r>
    <n v="437"/>
    <n v="62"/>
    <x v="1"/>
    <x v="1"/>
    <s v="Insulin Therapy"/>
    <n v="2000"/>
    <n v="32"/>
    <x v="0"/>
    <x v="1"/>
    <n v="4"/>
    <x v="1"/>
    <s v="Medium"/>
    <s v="Yes"/>
  </r>
  <r>
    <n v="438"/>
    <n v="35"/>
    <x v="0"/>
    <x v="2"/>
    <s v="X-Ray and Splint"/>
    <n v="500"/>
    <n v="30"/>
    <x v="1"/>
    <x v="0"/>
    <n v="5"/>
    <x v="2"/>
    <s v="Low"/>
    <s v="Yes"/>
  </r>
  <r>
    <n v="439"/>
    <n v="78"/>
    <x v="1"/>
    <x v="3"/>
    <s v="CT Scan and Medication"/>
    <n v="10000"/>
    <n v="37"/>
    <x v="0"/>
    <x v="1"/>
    <n v="2"/>
    <x v="3"/>
    <s v="High"/>
    <s v="No"/>
  </r>
  <r>
    <n v="440"/>
    <n v="53"/>
    <x v="0"/>
    <x v="4"/>
    <s v="Surgery and Chemotherapy"/>
    <n v="25000"/>
    <n v="39"/>
    <x v="1"/>
    <x v="0"/>
    <n v="4"/>
    <x v="0"/>
    <s v="High"/>
    <s v="Yes"/>
  </r>
  <r>
    <n v="441"/>
    <n v="72"/>
    <x v="1"/>
    <x v="5"/>
    <s v="Medication and Counseling"/>
    <n v="1000"/>
    <n v="31"/>
    <x v="0"/>
    <x v="1"/>
    <n v="4"/>
    <x v="1"/>
    <s v="Low"/>
    <s v="Yes"/>
  </r>
  <r>
    <n v="442"/>
    <n v="60"/>
    <x v="0"/>
    <x v="6"/>
    <s v="Appendectomy"/>
    <n v="8000"/>
    <n v="33"/>
    <x v="1"/>
    <x v="0"/>
    <n v="3"/>
    <x v="1"/>
    <s v="Medium"/>
    <s v="No"/>
  </r>
  <r>
    <n v="443"/>
    <n v="45"/>
    <x v="1"/>
    <x v="7"/>
    <s v="Cast and Physical Therapy"/>
    <n v="3000"/>
    <n v="35"/>
    <x v="0"/>
    <x v="0"/>
    <n v="4"/>
    <x v="0"/>
    <s v="Medium"/>
    <s v="Yes"/>
  </r>
  <r>
    <n v="444"/>
    <n v="75"/>
    <x v="0"/>
    <x v="8"/>
    <s v="Cardiac Catheterization"/>
    <n v="18000"/>
    <n v="37"/>
    <x v="1"/>
    <x v="1"/>
    <n v="2"/>
    <x v="3"/>
    <s v="High"/>
    <s v="No"/>
  </r>
  <r>
    <n v="445"/>
    <n v="28"/>
    <x v="1"/>
    <x v="9"/>
    <s v="Epinephrine Injection"/>
    <n v="100"/>
    <n v="30"/>
    <x v="0"/>
    <x v="0"/>
    <n v="5"/>
    <x v="4"/>
    <s v="Low"/>
    <s v="Yes"/>
  </r>
  <r>
    <n v="446"/>
    <n v="52"/>
    <x v="0"/>
    <x v="10"/>
    <s v="Antibiotics and Rest"/>
    <n v="800"/>
    <n v="31"/>
    <x v="0"/>
    <x v="1"/>
    <n v="4"/>
    <x v="0"/>
    <s v="Low"/>
    <s v="Yes"/>
  </r>
  <r>
    <n v="447"/>
    <n v="67"/>
    <x v="1"/>
    <x v="11"/>
    <s v="Radiation Therapy"/>
    <n v="20000"/>
    <n v="38"/>
    <x v="0"/>
    <x v="0"/>
    <n v="3"/>
    <x v="1"/>
    <s v="High"/>
    <s v="No"/>
  </r>
  <r>
    <n v="448"/>
    <n v="35"/>
    <x v="0"/>
    <x v="12"/>
    <s v="Delivery and Postnatal Care"/>
    <n v="12000"/>
    <n v="32"/>
    <x v="0"/>
    <x v="0"/>
    <n v="4"/>
    <x v="2"/>
    <s v="High"/>
    <s v="Yes"/>
  </r>
  <r>
    <n v="449"/>
    <n v="50"/>
    <x v="1"/>
    <x v="13"/>
    <s v="Lithotripsy"/>
    <n v="6000"/>
    <n v="33"/>
    <x v="0"/>
    <x v="0"/>
    <n v="3"/>
    <x v="0"/>
    <s v="Medium"/>
    <s v="No"/>
  </r>
  <r>
    <n v="450"/>
    <n v="60"/>
    <x v="0"/>
    <x v="14"/>
    <s v="Physical Therapy and Pain Management"/>
    <n v="4000"/>
    <n v="34"/>
    <x v="0"/>
    <x v="1"/>
    <n v="4"/>
    <x v="1"/>
    <s v="Medium"/>
    <s v="Yes"/>
  </r>
  <r>
    <n v="451"/>
    <n v="48"/>
    <x v="0"/>
    <x v="0"/>
    <s v="Angioplasty"/>
    <n v="15000"/>
    <n v="35"/>
    <x v="1"/>
    <x v="0"/>
    <n v="4"/>
    <x v="0"/>
    <s v="High"/>
    <s v="Yes"/>
  </r>
  <r>
    <n v="452"/>
    <n v="65"/>
    <x v="1"/>
    <x v="1"/>
    <s v="Insulin Therapy"/>
    <n v="2000"/>
    <n v="33"/>
    <x v="0"/>
    <x v="1"/>
    <n v="3"/>
    <x v="1"/>
    <s v="Medium"/>
    <s v="No"/>
  </r>
  <r>
    <n v="453"/>
    <n v="30"/>
    <x v="0"/>
    <x v="2"/>
    <s v="X-Ray and Splint"/>
    <n v="500"/>
    <n v="31"/>
    <x v="0"/>
    <x v="0"/>
    <n v="5"/>
    <x v="2"/>
    <s v="Low"/>
    <s v="Yes"/>
  </r>
  <r>
    <n v="454"/>
    <n v="70"/>
    <x v="1"/>
    <x v="3"/>
    <s v="CT Scan and Medication"/>
    <n v="10000"/>
    <n v="38"/>
    <x v="1"/>
    <x v="1"/>
    <n v="2"/>
    <x v="1"/>
    <s v="High"/>
    <s v="No"/>
  </r>
  <r>
    <n v="455"/>
    <n v="55"/>
    <x v="0"/>
    <x v="4"/>
    <s v="Surgery and Chemotherapy"/>
    <n v="25000"/>
    <n v="40"/>
    <x v="0"/>
    <x v="0"/>
    <n v="4"/>
    <x v="0"/>
    <s v="High"/>
    <s v="Yes"/>
  </r>
  <r>
    <n v="456"/>
    <n v="68"/>
    <x v="1"/>
    <x v="5"/>
    <s v="Medication and Counseling"/>
    <n v="1000"/>
    <n v="32"/>
    <x v="0"/>
    <x v="1"/>
    <n v="4"/>
    <x v="1"/>
    <s v="Low"/>
    <s v="Yes"/>
  </r>
  <r>
    <n v="457"/>
    <n v="45"/>
    <x v="0"/>
    <x v="6"/>
    <s v="Appendectomy"/>
    <n v="8000"/>
    <n v="34"/>
    <x v="0"/>
    <x v="0"/>
    <n v="3"/>
    <x v="0"/>
    <s v="Medium"/>
    <s v="No"/>
  </r>
  <r>
    <n v="458"/>
    <n v="40"/>
    <x v="1"/>
    <x v="7"/>
    <s v="Cast and Physical Therapy"/>
    <n v="3000"/>
    <n v="36"/>
    <x v="0"/>
    <x v="0"/>
    <n v="4"/>
    <x v="2"/>
    <s v="Medium"/>
    <s v="Yes"/>
  </r>
  <r>
    <n v="459"/>
    <n v="78"/>
    <x v="0"/>
    <x v="8"/>
    <s v="Cardiac Catheterization"/>
    <n v="18000"/>
    <n v="38"/>
    <x v="1"/>
    <x v="1"/>
    <n v="2"/>
    <x v="3"/>
    <s v="High"/>
    <s v="No"/>
  </r>
  <r>
    <n v="460"/>
    <n v="25"/>
    <x v="1"/>
    <x v="9"/>
    <s v="Epinephrine Injection"/>
    <n v="100"/>
    <n v="31"/>
    <x v="0"/>
    <x v="0"/>
    <n v="5"/>
    <x v="4"/>
    <s v="Low"/>
    <s v="Yes"/>
  </r>
  <r>
    <n v="461"/>
    <n v="52"/>
    <x v="0"/>
    <x v="10"/>
    <s v="Antibiotics and Rest"/>
    <n v="800"/>
    <n v="32"/>
    <x v="0"/>
    <x v="1"/>
    <n v="4"/>
    <x v="0"/>
    <s v="Low"/>
    <s v="Yes"/>
  </r>
  <r>
    <n v="462"/>
    <n v="58"/>
    <x v="1"/>
    <x v="11"/>
    <s v="Radiation Therapy"/>
    <n v="20000"/>
    <n v="39"/>
    <x v="0"/>
    <x v="0"/>
    <n v="3"/>
    <x v="0"/>
    <s v="High"/>
    <s v="No"/>
  </r>
  <r>
    <n v="463"/>
    <n v="32"/>
    <x v="0"/>
    <x v="12"/>
    <s v="Delivery and Postnatal Care"/>
    <n v="12000"/>
    <n v="33"/>
    <x v="0"/>
    <x v="0"/>
    <n v="4"/>
    <x v="2"/>
    <s v="High"/>
    <s v="Yes"/>
  </r>
  <r>
    <n v="464"/>
    <n v="55"/>
    <x v="1"/>
    <x v="13"/>
    <s v="Lithotripsy"/>
    <n v="6000"/>
    <n v="34"/>
    <x v="0"/>
    <x v="0"/>
    <n v="3"/>
    <x v="0"/>
    <s v="Medium"/>
    <s v="No"/>
  </r>
  <r>
    <n v="465"/>
    <n v="65"/>
    <x v="0"/>
    <x v="14"/>
    <s v="Physical Therapy and Pain Management"/>
    <n v="4000"/>
    <n v="35"/>
    <x v="0"/>
    <x v="1"/>
    <n v="4"/>
    <x v="1"/>
    <s v="Medium"/>
    <s v="Yes"/>
  </r>
  <r>
    <n v="466"/>
    <n v="55"/>
    <x v="0"/>
    <x v="0"/>
    <s v="Angioplasty"/>
    <n v="15000"/>
    <n v="36"/>
    <x v="1"/>
    <x v="0"/>
    <n v="3"/>
    <x v="0"/>
    <s v="High"/>
    <s v="No"/>
  </r>
  <r>
    <n v="467"/>
    <n v="62"/>
    <x v="1"/>
    <x v="1"/>
    <s v="Insulin Therapy"/>
    <n v="2000"/>
    <n v="34"/>
    <x v="0"/>
    <x v="1"/>
    <n v="4"/>
    <x v="1"/>
    <s v="Medium"/>
    <s v="Yes"/>
  </r>
  <r>
    <n v="468"/>
    <n v="35"/>
    <x v="0"/>
    <x v="2"/>
    <s v="X-Ray and Splint"/>
    <n v="500"/>
    <n v="32"/>
    <x v="1"/>
    <x v="0"/>
    <n v="5"/>
    <x v="2"/>
    <s v="Low"/>
    <s v="Yes"/>
  </r>
  <r>
    <n v="469"/>
    <n v="78"/>
    <x v="1"/>
    <x v="3"/>
    <s v="CT Scan and Medication"/>
    <n v="10000"/>
    <n v="39"/>
    <x v="0"/>
    <x v="1"/>
    <n v="2"/>
    <x v="3"/>
    <s v="High"/>
    <s v="No"/>
  </r>
  <r>
    <n v="470"/>
    <n v="53"/>
    <x v="0"/>
    <x v="4"/>
    <s v="Surgery and Chemotherapy"/>
    <n v="25000"/>
    <n v="41"/>
    <x v="1"/>
    <x v="0"/>
    <n v="4"/>
    <x v="0"/>
    <s v="High"/>
    <s v="Yes"/>
  </r>
  <r>
    <n v="471"/>
    <n v="72"/>
    <x v="1"/>
    <x v="5"/>
    <s v="Medication and Counseling"/>
    <n v="1000"/>
    <n v="33"/>
    <x v="0"/>
    <x v="1"/>
    <n v="4"/>
    <x v="1"/>
    <s v="Low"/>
    <s v="Yes"/>
  </r>
  <r>
    <n v="472"/>
    <n v="60"/>
    <x v="0"/>
    <x v="6"/>
    <s v="Appendectomy"/>
    <n v="8000"/>
    <n v="35"/>
    <x v="1"/>
    <x v="0"/>
    <n v="3"/>
    <x v="1"/>
    <s v="Medium"/>
    <s v="No"/>
  </r>
  <r>
    <n v="473"/>
    <n v="45"/>
    <x v="1"/>
    <x v="7"/>
    <s v="Cast and Physical Therapy"/>
    <n v="3000"/>
    <n v="37"/>
    <x v="0"/>
    <x v="0"/>
    <n v="4"/>
    <x v="0"/>
    <s v="Medium"/>
    <s v="Yes"/>
  </r>
  <r>
    <n v="474"/>
    <n v="75"/>
    <x v="0"/>
    <x v="8"/>
    <s v="Cardiac Catheterization"/>
    <n v="18000"/>
    <n v="39"/>
    <x v="1"/>
    <x v="1"/>
    <n v="2"/>
    <x v="3"/>
    <s v="High"/>
    <s v="No"/>
  </r>
  <r>
    <n v="475"/>
    <n v="28"/>
    <x v="1"/>
    <x v="9"/>
    <s v="Epinephrine Injection"/>
    <n v="100"/>
    <n v="32"/>
    <x v="0"/>
    <x v="0"/>
    <n v="5"/>
    <x v="4"/>
    <s v="Low"/>
    <s v="Yes"/>
  </r>
  <r>
    <n v="476"/>
    <n v="52"/>
    <x v="0"/>
    <x v="10"/>
    <s v="Antibiotics and Rest"/>
    <n v="800"/>
    <n v="33"/>
    <x v="0"/>
    <x v="1"/>
    <n v="4"/>
    <x v="0"/>
    <s v="Low"/>
    <s v="Yes"/>
  </r>
  <r>
    <n v="477"/>
    <n v="67"/>
    <x v="1"/>
    <x v="11"/>
    <s v="Radiation Therapy"/>
    <n v="20000"/>
    <n v="40"/>
    <x v="0"/>
    <x v="0"/>
    <n v="3"/>
    <x v="1"/>
    <s v="High"/>
    <s v="No"/>
  </r>
  <r>
    <n v="479"/>
    <n v="50"/>
    <x v="1"/>
    <x v="13"/>
    <s v="Lithotripsy"/>
    <n v="6000"/>
    <n v="35"/>
    <x v="0"/>
    <x v="0"/>
    <n v="3"/>
    <x v="0"/>
    <s v="Medium"/>
    <s v="No"/>
  </r>
  <r>
    <n v="480"/>
    <n v="60"/>
    <x v="0"/>
    <x v="14"/>
    <s v="Physical Therapy and Pain Management"/>
    <n v="4000"/>
    <n v="36"/>
    <x v="0"/>
    <x v="1"/>
    <n v="4"/>
    <x v="1"/>
    <s v="Medium"/>
    <s v="Yes"/>
  </r>
  <r>
    <n v="481"/>
    <n v="48"/>
    <x v="0"/>
    <x v="0"/>
    <s v="Angioplasty"/>
    <n v="15000"/>
    <n v="37"/>
    <x v="1"/>
    <x v="0"/>
    <n v="4"/>
    <x v="0"/>
    <s v="High"/>
    <s v="Yes"/>
  </r>
  <r>
    <n v="482"/>
    <n v="65"/>
    <x v="1"/>
    <x v="1"/>
    <s v="Insulin Therapy"/>
    <n v="2000"/>
    <n v="35"/>
    <x v="0"/>
    <x v="1"/>
    <n v="3"/>
    <x v="1"/>
    <s v="Medium"/>
    <s v="No"/>
  </r>
  <r>
    <n v="483"/>
    <n v="30"/>
    <x v="0"/>
    <x v="2"/>
    <s v="X-Ray and Splint"/>
    <n v="500"/>
    <n v="33"/>
    <x v="0"/>
    <x v="0"/>
    <n v="5"/>
    <x v="2"/>
    <s v="Low"/>
    <s v="Yes"/>
  </r>
  <r>
    <n v="484"/>
    <n v="70"/>
    <x v="1"/>
    <x v="3"/>
    <s v="CT Scan and Medication"/>
    <n v="10000"/>
    <n v="40"/>
    <x v="1"/>
    <x v="1"/>
    <n v="2"/>
    <x v="1"/>
    <s v="High"/>
    <s v="No"/>
  </r>
  <r>
    <n v="485"/>
    <n v="55"/>
    <x v="0"/>
    <x v="4"/>
    <s v="Surgery and Chemotherapy"/>
    <n v="25000"/>
    <n v="42"/>
    <x v="0"/>
    <x v="0"/>
    <n v="4"/>
    <x v="0"/>
    <s v="High"/>
    <s v="Yes"/>
  </r>
  <r>
    <n v="486"/>
    <n v="68"/>
    <x v="1"/>
    <x v="5"/>
    <s v="Medication and Counseling"/>
    <n v="1000"/>
    <n v="34"/>
    <x v="0"/>
    <x v="1"/>
    <n v="4"/>
    <x v="1"/>
    <s v="Low"/>
    <s v="Yes"/>
  </r>
  <r>
    <n v="487"/>
    <n v="45"/>
    <x v="0"/>
    <x v="6"/>
    <s v="Appendectomy"/>
    <n v="8000"/>
    <n v="36"/>
    <x v="0"/>
    <x v="0"/>
    <n v="3"/>
    <x v="0"/>
    <s v="Medium"/>
    <s v="No"/>
  </r>
  <r>
    <n v="488"/>
    <n v="40"/>
    <x v="1"/>
    <x v="7"/>
    <s v="Cast and Physical Therapy"/>
    <n v="3000"/>
    <n v="38"/>
    <x v="0"/>
    <x v="0"/>
    <n v="4"/>
    <x v="2"/>
    <s v="Medium"/>
    <s v="Yes"/>
  </r>
  <r>
    <n v="489"/>
    <n v="78"/>
    <x v="0"/>
    <x v="8"/>
    <s v="Cardiac Catheterization"/>
    <n v="18000"/>
    <n v="40"/>
    <x v="1"/>
    <x v="1"/>
    <n v="2"/>
    <x v="3"/>
    <s v="High"/>
    <s v="No"/>
  </r>
  <r>
    <n v="490"/>
    <n v="25"/>
    <x v="1"/>
    <x v="9"/>
    <s v="Epinephrine Injection"/>
    <n v="100"/>
    <n v="33"/>
    <x v="0"/>
    <x v="0"/>
    <n v="5"/>
    <x v="4"/>
    <s v="Low"/>
    <s v="Yes"/>
  </r>
  <r>
    <n v="491"/>
    <n v="52"/>
    <x v="0"/>
    <x v="10"/>
    <s v="Antibiotics and Rest"/>
    <n v="800"/>
    <n v="34"/>
    <x v="0"/>
    <x v="1"/>
    <n v="4"/>
    <x v="0"/>
    <s v="Low"/>
    <s v="Yes"/>
  </r>
  <r>
    <n v="492"/>
    <n v="58"/>
    <x v="1"/>
    <x v="11"/>
    <s v="Radiation Therapy"/>
    <n v="20000"/>
    <n v="41"/>
    <x v="0"/>
    <x v="0"/>
    <n v="3"/>
    <x v="0"/>
    <s v="High"/>
    <s v="No"/>
  </r>
  <r>
    <n v="493"/>
    <n v="32"/>
    <x v="0"/>
    <x v="12"/>
    <s v="Delivery and Postnatal Care"/>
    <n v="12000"/>
    <n v="35"/>
    <x v="0"/>
    <x v="0"/>
    <n v="4"/>
    <x v="2"/>
    <s v="High"/>
    <s v="Yes"/>
  </r>
  <r>
    <n v="494"/>
    <n v="55"/>
    <x v="1"/>
    <x v="13"/>
    <s v="Lithotripsy"/>
    <n v="6000"/>
    <n v="36"/>
    <x v="0"/>
    <x v="0"/>
    <n v="3"/>
    <x v="0"/>
    <s v="Medium"/>
    <s v="No"/>
  </r>
  <r>
    <n v="495"/>
    <n v="65"/>
    <x v="0"/>
    <x v="14"/>
    <s v="Physical Therapy and Pain Management"/>
    <n v="4000"/>
    <n v="37"/>
    <x v="0"/>
    <x v="1"/>
    <n v="4"/>
    <x v="1"/>
    <s v="Medium"/>
    <s v="Yes"/>
  </r>
  <r>
    <n v="496"/>
    <n v="55"/>
    <x v="0"/>
    <x v="0"/>
    <s v="Angioplasty"/>
    <n v="15000"/>
    <n v="38"/>
    <x v="1"/>
    <x v="0"/>
    <n v="3"/>
    <x v="0"/>
    <s v="High"/>
    <s v="No"/>
  </r>
  <r>
    <n v="497"/>
    <n v="62"/>
    <x v="1"/>
    <x v="1"/>
    <s v="Insulin Therapy"/>
    <n v="2000"/>
    <n v="36"/>
    <x v="0"/>
    <x v="1"/>
    <n v="4"/>
    <x v="1"/>
    <s v="Medium"/>
    <s v="Yes"/>
  </r>
  <r>
    <n v="498"/>
    <n v="35"/>
    <x v="0"/>
    <x v="2"/>
    <s v="X-Ray and Splint"/>
    <n v="500"/>
    <n v="34"/>
    <x v="1"/>
    <x v="0"/>
    <n v="5"/>
    <x v="2"/>
    <s v="Low"/>
    <s v="Yes"/>
  </r>
  <r>
    <n v="499"/>
    <n v="78"/>
    <x v="1"/>
    <x v="3"/>
    <s v="CT Scan and Medication"/>
    <n v="10000"/>
    <n v="41"/>
    <x v="0"/>
    <x v="1"/>
    <n v="2"/>
    <x v="3"/>
    <s v="High"/>
    <s v="No"/>
  </r>
  <r>
    <n v="500"/>
    <n v="53"/>
    <x v="0"/>
    <x v="4"/>
    <s v="Surgery and Chemotherapy"/>
    <n v="25000"/>
    <n v="43"/>
    <x v="1"/>
    <x v="0"/>
    <n v="4"/>
    <x v="0"/>
    <s v="High"/>
    <s v="Yes"/>
  </r>
  <r>
    <n v="501"/>
    <n v="72"/>
    <x v="1"/>
    <x v="5"/>
    <s v="Medication and Counseling"/>
    <n v="1000"/>
    <n v="35"/>
    <x v="0"/>
    <x v="1"/>
    <n v="4"/>
    <x v="1"/>
    <s v="Low"/>
    <s v="Yes"/>
  </r>
  <r>
    <n v="502"/>
    <n v="60"/>
    <x v="0"/>
    <x v="6"/>
    <s v="Appendectomy"/>
    <n v="8000"/>
    <n v="37"/>
    <x v="1"/>
    <x v="0"/>
    <n v="3"/>
    <x v="1"/>
    <s v="Medium"/>
    <s v="No"/>
  </r>
  <r>
    <n v="503"/>
    <n v="45"/>
    <x v="1"/>
    <x v="7"/>
    <s v="Cast and Physical Therapy"/>
    <n v="3000"/>
    <n v="39"/>
    <x v="0"/>
    <x v="0"/>
    <n v="4"/>
    <x v="0"/>
    <s v="Medium"/>
    <s v="Yes"/>
  </r>
  <r>
    <n v="504"/>
    <n v="75"/>
    <x v="0"/>
    <x v="8"/>
    <s v="Cardiac Catheterization"/>
    <n v="18000"/>
    <n v="41"/>
    <x v="1"/>
    <x v="1"/>
    <n v="2"/>
    <x v="3"/>
    <s v="High"/>
    <s v="No"/>
  </r>
  <r>
    <n v="505"/>
    <n v="28"/>
    <x v="1"/>
    <x v="9"/>
    <s v="Epinephrine Injection"/>
    <n v="100"/>
    <n v="34"/>
    <x v="0"/>
    <x v="0"/>
    <n v="5"/>
    <x v="4"/>
    <s v="Low"/>
    <s v="Yes"/>
  </r>
  <r>
    <n v="506"/>
    <n v="52"/>
    <x v="0"/>
    <x v="10"/>
    <s v="Antibiotics and Rest"/>
    <n v="800"/>
    <n v="35"/>
    <x v="0"/>
    <x v="1"/>
    <n v="4"/>
    <x v="0"/>
    <s v="Low"/>
    <s v="Yes"/>
  </r>
  <r>
    <n v="507"/>
    <n v="67"/>
    <x v="1"/>
    <x v="11"/>
    <s v="Radiation Therapy"/>
    <n v="20000"/>
    <n v="42"/>
    <x v="0"/>
    <x v="0"/>
    <n v="3"/>
    <x v="1"/>
    <s v="High"/>
    <s v="No"/>
  </r>
  <r>
    <n v="508"/>
    <n v="35"/>
    <x v="0"/>
    <x v="12"/>
    <s v="Delivery and Postnatal Care"/>
    <n v="12000"/>
    <n v="36"/>
    <x v="0"/>
    <x v="0"/>
    <n v="4"/>
    <x v="2"/>
    <s v="High"/>
    <s v="Yes"/>
  </r>
  <r>
    <n v="509"/>
    <n v="50"/>
    <x v="1"/>
    <x v="13"/>
    <s v="Lithotripsy"/>
    <n v="6000"/>
    <n v="37"/>
    <x v="0"/>
    <x v="0"/>
    <n v="3"/>
    <x v="0"/>
    <s v="Medium"/>
    <s v="No"/>
  </r>
  <r>
    <n v="510"/>
    <n v="60"/>
    <x v="0"/>
    <x v="14"/>
    <s v="Physical Therapy and Pain Management"/>
    <n v="4000"/>
    <n v="38"/>
    <x v="0"/>
    <x v="1"/>
    <n v="4"/>
    <x v="1"/>
    <s v="Medium"/>
    <s v="Yes"/>
  </r>
  <r>
    <n v="511"/>
    <n v="48"/>
    <x v="0"/>
    <x v="0"/>
    <s v="Angioplasty"/>
    <n v="15000"/>
    <n v="39"/>
    <x v="1"/>
    <x v="0"/>
    <n v="4"/>
    <x v="0"/>
    <s v="High"/>
    <s v="Yes"/>
  </r>
  <r>
    <n v="512"/>
    <n v="65"/>
    <x v="1"/>
    <x v="1"/>
    <s v="Insulin Therapy"/>
    <n v="2000"/>
    <n v="37"/>
    <x v="0"/>
    <x v="1"/>
    <n v="3"/>
    <x v="1"/>
    <s v="Medium"/>
    <s v="No"/>
  </r>
  <r>
    <n v="513"/>
    <n v="30"/>
    <x v="0"/>
    <x v="2"/>
    <s v="X-Ray and Splint"/>
    <n v="500"/>
    <n v="35"/>
    <x v="0"/>
    <x v="0"/>
    <n v="5"/>
    <x v="2"/>
    <s v="Low"/>
    <s v="Yes"/>
  </r>
  <r>
    <n v="514"/>
    <n v="70"/>
    <x v="1"/>
    <x v="3"/>
    <s v="CT Scan and Medication"/>
    <n v="10000"/>
    <n v="42"/>
    <x v="1"/>
    <x v="1"/>
    <n v="2"/>
    <x v="1"/>
    <s v="High"/>
    <s v="No"/>
  </r>
  <r>
    <n v="515"/>
    <n v="55"/>
    <x v="0"/>
    <x v="4"/>
    <s v="Surgery and Chemotherapy"/>
    <n v="25000"/>
    <n v="44"/>
    <x v="0"/>
    <x v="0"/>
    <n v="4"/>
    <x v="0"/>
    <s v="High"/>
    <s v="Yes"/>
  </r>
  <r>
    <n v="516"/>
    <n v="68"/>
    <x v="1"/>
    <x v="5"/>
    <s v="Medication and Counseling"/>
    <n v="1000"/>
    <n v="36"/>
    <x v="0"/>
    <x v="1"/>
    <n v="4"/>
    <x v="1"/>
    <s v="Low"/>
    <s v="Yes"/>
  </r>
  <r>
    <n v="517"/>
    <n v="45"/>
    <x v="0"/>
    <x v="6"/>
    <s v="Appendectomy"/>
    <n v="8000"/>
    <n v="38"/>
    <x v="0"/>
    <x v="0"/>
    <n v="3"/>
    <x v="0"/>
    <s v="Medium"/>
    <s v="No"/>
  </r>
  <r>
    <n v="518"/>
    <n v="40"/>
    <x v="1"/>
    <x v="7"/>
    <s v="Cast and Physical Therapy"/>
    <n v="3000"/>
    <n v="40"/>
    <x v="0"/>
    <x v="0"/>
    <n v="4"/>
    <x v="2"/>
    <s v="Medium"/>
    <s v="Yes"/>
  </r>
  <r>
    <n v="519"/>
    <n v="78"/>
    <x v="0"/>
    <x v="8"/>
    <s v="Cardiac Catheterization"/>
    <n v="18000"/>
    <n v="42"/>
    <x v="1"/>
    <x v="1"/>
    <n v="2"/>
    <x v="3"/>
    <s v="High"/>
    <s v="No"/>
  </r>
  <r>
    <n v="520"/>
    <n v="25"/>
    <x v="1"/>
    <x v="9"/>
    <s v="Epinephrine Injection"/>
    <n v="100"/>
    <n v="35"/>
    <x v="0"/>
    <x v="0"/>
    <n v="5"/>
    <x v="4"/>
    <s v="Low"/>
    <s v="Yes"/>
  </r>
  <r>
    <n v="521"/>
    <n v="52"/>
    <x v="0"/>
    <x v="10"/>
    <s v="Antibiotics and Rest"/>
    <n v="800"/>
    <n v="36"/>
    <x v="0"/>
    <x v="1"/>
    <n v="4"/>
    <x v="0"/>
    <s v="Low"/>
    <s v="Yes"/>
  </r>
  <r>
    <n v="522"/>
    <n v="58"/>
    <x v="1"/>
    <x v="11"/>
    <s v="Radiation Therapy"/>
    <n v="20000"/>
    <n v="43"/>
    <x v="0"/>
    <x v="0"/>
    <n v="3"/>
    <x v="0"/>
    <s v="High"/>
    <s v="No"/>
  </r>
  <r>
    <n v="523"/>
    <n v="32"/>
    <x v="0"/>
    <x v="12"/>
    <s v="Delivery and Postnatal Care"/>
    <n v="12000"/>
    <n v="37"/>
    <x v="0"/>
    <x v="0"/>
    <n v="4"/>
    <x v="2"/>
    <s v="High"/>
    <s v="Yes"/>
  </r>
  <r>
    <n v="524"/>
    <n v="55"/>
    <x v="1"/>
    <x v="13"/>
    <s v="Lithotripsy"/>
    <n v="6000"/>
    <n v="38"/>
    <x v="0"/>
    <x v="0"/>
    <n v="3"/>
    <x v="0"/>
    <s v="Medium"/>
    <s v="No"/>
  </r>
  <r>
    <n v="525"/>
    <n v="65"/>
    <x v="0"/>
    <x v="14"/>
    <s v="Physical Therapy and Pain Management"/>
    <n v="4000"/>
    <n v="39"/>
    <x v="0"/>
    <x v="1"/>
    <n v="4"/>
    <x v="1"/>
    <s v="Medium"/>
    <s v="Yes"/>
  </r>
  <r>
    <n v="526"/>
    <n v="55"/>
    <x v="0"/>
    <x v="0"/>
    <s v="Angioplasty"/>
    <n v="15000"/>
    <n v="40"/>
    <x v="1"/>
    <x v="0"/>
    <n v="3"/>
    <x v="0"/>
    <s v="High"/>
    <s v="No"/>
  </r>
  <r>
    <n v="527"/>
    <n v="62"/>
    <x v="1"/>
    <x v="1"/>
    <s v="Insulin Therapy"/>
    <n v="2000"/>
    <n v="38"/>
    <x v="0"/>
    <x v="1"/>
    <n v="4"/>
    <x v="1"/>
    <s v="Medium"/>
    <s v="Yes"/>
  </r>
  <r>
    <n v="528"/>
    <n v="35"/>
    <x v="0"/>
    <x v="2"/>
    <s v="X-Ray and Splint"/>
    <n v="500"/>
    <n v="36"/>
    <x v="1"/>
    <x v="0"/>
    <n v="5"/>
    <x v="2"/>
    <s v="Low"/>
    <s v="Yes"/>
  </r>
  <r>
    <n v="529"/>
    <n v="78"/>
    <x v="1"/>
    <x v="3"/>
    <s v="CT Scan and Medication"/>
    <n v="10000"/>
    <n v="43"/>
    <x v="0"/>
    <x v="1"/>
    <n v="2"/>
    <x v="3"/>
    <s v="High"/>
    <s v="No"/>
  </r>
  <r>
    <n v="530"/>
    <n v="53"/>
    <x v="0"/>
    <x v="4"/>
    <s v="Surgery and Chemotherapy"/>
    <n v="25000"/>
    <n v="45"/>
    <x v="1"/>
    <x v="0"/>
    <n v="4"/>
    <x v="0"/>
    <s v="High"/>
    <s v="Yes"/>
  </r>
  <r>
    <n v="531"/>
    <n v="72"/>
    <x v="1"/>
    <x v="5"/>
    <s v="Medication and Counseling"/>
    <n v="1000"/>
    <n v="38"/>
    <x v="0"/>
    <x v="1"/>
    <n v="4"/>
    <x v="1"/>
    <s v="Low"/>
    <s v="Yes"/>
  </r>
  <r>
    <n v="532"/>
    <n v="60"/>
    <x v="0"/>
    <x v="6"/>
    <s v="Appendectomy"/>
    <n v="8000"/>
    <n v="39"/>
    <x v="1"/>
    <x v="0"/>
    <n v="3"/>
    <x v="1"/>
    <s v="Medium"/>
    <s v="No"/>
  </r>
  <r>
    <n v="533"/>
    <n v="45"/>
    <x v="1"/>
    <x v="7"/>
    <s v="Cast and Physical Therapy"/>
    <n v="3000"/>
    <n v="41"/>
    <x v="0"/>
    <x v="0"/>
    <n v="4"/>
    <x v="0"/>
    <s v="Medium"/>
    <s v="Yes"/>
  </r>
  <r>
    <n v="534"/>
    <n v="75"/>
    <x v="0"/>
    <x v="8"/>
    <s v="Cardiac Catheterization"/>
    <n v="18000"/>
    <n v="43"/>
    <x v="1"/>
    <x v="1"/>
    <n v="2"/>
    <x v="3"/>
    <s v="High"/>
    <s v="No"/>
  </r>
  <r>
    <n v="535"/>
    <n v="28"/>
    <x v="1"/>
    <x v="9"/>
    <s v="Epinephrine Injection"/>
    <n v="100"/>
    <n v="36"/>
    <x v="0"/>
    <x v="0"/>
    <n v="5"/>
    <x v="4"/>
    <s v="Low"/>
    <s v="Yes"/>
  </r>
  <r>
    <n v="536"/>
    <n v="52"/>
    <x v="0"/>
    <x v="10"/>
    <s v="Antibiotics and Rest"/>
    <n v="800"/>
    <n v="37"/>
    <x v="0"/>
    <x v="1"/>
    <n v="4"/>
    <x v="0"/>
    <s v="Low"/>
    <s v="Yes"/>
  </r>
  <r>
    <n v="537"/>
    <n v="67"/>
    <x v="1"/>
    <x v="11"/>
    <s v="Radiation Therapy"/>
    <n v="20000"/>
    <n v="44"/>
    <x v="0"/>
    <x v="0"/>
    <n v="3"/>
    <x v="1"/>
    <s v="High"/>
    <s v="No"/>
  </r>
  <r>
    <n v="538"/>
    <n v="35"/>
    <x v="0"/>
    <x v="12"/>
    <s v="Delivery and Postnatal Care"/>
    <n v="12000"/>
    <n v="38"/>
    <x v="0"/>
    <x v="0"/>
    <n v="4"/>
    <x v="2"/>
    <s v="High"/>
    <s v="Yes"/>
  </r>
  <r>
    <n v="540"/>
    <n v="60"/>
    <x v="0"/>
    <x v="14"/>
    <s v="Physical Therapy and Pain Management"/>
    <n v="4000"/>
    <n v="40"/>
    <x v="0"/>
    <x v="1"/>
    <n v="4"/>
    <x v="1"/>
    <s v="Medium"/>
    <s v="Yes"/>
  </r>
  <r>
    <n v="541"/>
    <n v="48"/>
    <x v="0"/>
    <x v="0"/>
    <s v="Angioplasty"/>
    <n v="15000"/>
    <n v="41"/>
    <x v="1"/>
    <x v="0"/>
    <n v="4"/>
    <x v="0"/>
    <s v="High"/>
    <s v="Yes"/>
  </r>
  <r>
    <n v="542"/>
    <n v="65"/>
    <x v="1"/>
    <x v="1"/>
    <s v="Insulin Therapy"/>
    <n v="2000"/>
    <n v="39"/>
    <x v="0"/>
    <x v="1"/>
    <n v="3"/>
    <x v="1"/>
    <s v="Medium"/>
    <s v="No"/>
  </r>
  <r>
    <n v="543"/>
    <n v="30"/>
    <x v="0"/>
    <x v="2"/>
    <s v="X-Ray and Splint"/>
    <n v="500"/>
    <n v="37"/>
    <x v="0"/>
    <x v="0"/>
    <n v="5"/>
    <x v="2"/>
    <s v="Low"/>
    <s v="Yes"/>
  </r>
  <r>
    <n v="544"/>
    <n v="70"/>
    <x v="1"/>
    <x v="3"/>
    <s v="CT Scan and Medication"/>
    <n v="10000"/>
    <n v="44"/>
    <x v="1"/>
    <x v="1"/>
    <n v="2"/>
    <x v="1"/>
    <s v="High"/>
    <s v="No"/>
  </r>
  <r>
    <n v="545"/>
    <n v="55"/>
    <x v="0"/>
    <x v="4"/>
    <s v="Surgery and Chemotherapy"/>
    <n v="25000"/>
    <n v="46"/>
    <x v="0"/>
    <x v="0"/>
    <n v="4"/>
    <x v="0"/>
    <s v="High"/>
    <s v="Yes"/>
  </r>
  <r>
    <n v="546"/>
    <n v="68"/>
    <x v="1"/>
    <x v="5"/>
    <s v="Medication and Counseling"/>
    <n v="1000"/>
    <n v="40"/>
    <x v="0"/>
    <x v="1"/>
    <n v="4"/>
    <x v="1"/>
    <s v="Low"/>
    <s v="Yes"/>
  </r>
  <r>
    <n v="547"/>
    <n v="45"/>
    <x v="0"/>
    <x v="6"/>
    <s v="Appendectomy"/>
    <n v="8000"/>
    <n v="42"/>
    <x v="0"/>
    <x v="0"/>
    <n v="3"/>
    <x v="0"/>
    <s v="Medium"/>
    <s v="No"/>
  </r>
  <r>
    <n v="548"/>
    <n v="40"/>
    <x v="1"/>
    <x v="7"/>
    <s v="Cast and Physical Therapy"/>
    <n v="3000"/>
    <n v="42"/>
    <x v="0"/>
    <x v="0"/>
    <n v="4"/>
    <x v="2"/>
    <s v="Medium"/>
    <s v="Yes"/>
  </r>
  <r>
    <n v="549"/>
    <n v="78"/>
    <x v="0"/>
    <x v="8"/>
    <s v="Cardiac Catheterization"/>
    <n v="18000"/>
    <n v="44"/>
    <x v="1"/>
    <x v="1"/>
    <n v="2"/>
    <x v="3"/>
    <s v="High"/>
    <s v="No"/>
  </r>
  <r>
    <n v="550"/>
    <n v="25"/>
    <x v="1"/>
    <x v="9"/>
    <s v="Epinephrine Injection"/>
    <n v="100"/>
    <n v="37"/>
    <x v="0"/>
    <x v="0"/>
    <n v="5"/>
    <x v="4"/>
    <s v="Low"/>
    <s v="Yes"/>
  </r>
  <r>
    <n v="551"/>
    <n v="52"/>
    <x v="0"/>
    <x v="10"/>
    <s v="Antibiotics and Rest"/>
    <n v="800"/>
    <n v="38"/>
    <x v="0"/>
    <x v="1"/>
    <n v="4"/>
    <x v="0"/>
    <s v="Low"/>
    <s v="Yes"/>
  </r>
  <r>
    <n v="552"/>
    <n v="58"/>
    <x v="1"/>
    <x v="11"/>
    <s v="Radiation Therapy"/>
    <n v="20000"/>
    <n v="45"/>
    <x v="0"/>
    <x v="0"/>
    <n v="3"/>
    <x v="0"/>
    <s v="High"/>
    <s v="No"/>
  </r>
  <r>
    <n v="553"/>
    <n v="32"/>
    <x v="0"/>
    <x v="12"/>
    <s v="Delivery and Postnatal Care"/>
    <n v="12000"/>
    <n v="39"/>
    <x v="0"/>
    <x v="0"/>
    <n v="4"/>
    <x v="2"/>
    <s v="High"/>
    <s v="Yes"/>
  </r>
  <r>
    <n v="554"/>
    <n v="55"/>
    <x v="1"/>
    <x v="13"/>
    <s v="Lithotripsy"/>
    <n v="6000"/>
    <n v="40"/>
    <x v="0"/>
    <x v="0"/>
    <n v="3"/>
    <x v="0"/>
    <s v="Medium"/>
    <s v="No"/>
  </r>
  <r>
    <n v="555"/>
    <n v="65"/>
    <x v="0"/>
    <x v="14"/>
    <s v="Physical Therapy and Pain Management"/>
    <n v="4000"/>
    <n v="41"/>
    <x v="0"/>
    <x v="1"/>
    <n v="4"/>
    <x v="1"/>
    <s v="Medium"/>
    <s v="Yes"/>
  </r>
  <r>
    <n v="556"/>
    <n v="55"/>
    <x v="0"/>
    <x v="0"/>
    <s v="Angioplasty"/>
    <n v="15000"/>
    <n v="42"/>
    <x v="1"/>
    <x v="0"/>
    <n v="3"/>
    <x v="0"/>
    <s v="High"/>
    <s v="No"/>
  </r>
  <r>
    <n v="557"/>
    <n v="62"/>
    <x v="1"/>
    <x v="1"/>
    <s v="Insulin Therapy"/>
    <n v="2000"/>
    <n v="40"/>
    <x v="0"/>
    <x v="1"/>
    <n v="4"/>
    <x v="1"/>
    <s v="Medium"/>
    <s v="Yes"/>
  </r>
  <r>
    <n v="558"/>
    <n v="35"/>
    <x v="0"/>
    <x v="2"/>
    <s v="X-Ray and Splint"/>
    <n v="500"/>
    <n v="38"/>
    <x v="1"/>
    <x v="0"/>
    <n v="5"/>
    <x v="2"/>
    <s v="Low"/>
    <s v="Yes"/>
  </r>
  <r>
    <n v="559"/>
    <n v="78"/>
    <x v="1"/>
    <x v="3"/>
    <s v="CT Scan and Medication"/>
    <n v="10000"/>
    <n v="45"/>
    <x v="0"/>
    <x v="1"/>
    <n v="2"/>
    <x v="3"/>
    <s v="High"/>
    <s v="No"/>
  </r>
  <r>
    <n v="560"/>
    <n v="53"/>
    <x v="0"/>
    <x v="4"/>
    <s v="Surgery and Chemotherapy"/>
    <n v="25000"/>
    <n v="47"/>
    <x v="1"/>
    <x v="0"/>
    <n v="4"/>
    <x v="0"/>
    <s v="High"/>
    <s v="Yes"/>
  </r>
  <r>
    <n v="561"/>
    <n v="72"/>
    <x v="1"/>
    <x v="5"/>
    <s v="Medication and Counseling"/>
    <n v="1000"/>
    <n v="41"/>
    <x v="0"/>
    <x v="1"/>
    <n v="4"/>
    <x v="1"/>
    <s v="Low"/>
    <s v="Yes"/>
  </r>
  <r>
    <n v="562"/>
    <n v="60"/>
    <x v="0"/>
    <x v="6"/>
    <s v="Appendectomy"/>
    <n v="8000"/>
    <n v="43"/>
    <x v="1"/>
    <x v="0"/>
    <n v="3"/>
    <x v="1"/>
    <s v="Medium"/>
    <s v="No"/>
  </r>
  <r>
    <n v="563"/>
    <n v="45"/>
    <x v="1"/>
    <x v="7"/>
    <s v="Cast and Physical Therapy"/>
    <n v="3000"/>
    <n v="43"/>
    <x v="0"/>
    <x v="0"/>
    <n v="4"/>
    <x v="0"/>
    <s v="Medium"/>
    <s v="Yes"/>
  </r>
  <r>
    <n v="564"/>
    <n v="75"/>
    <x v="0"/>
    <x v="8"/>
    <s v="Cardiac Catheterization"/>
    <n v="18000"/>
    <n v="45"/>
    <x v="1"/>
    <x v="1"/>
    <n v="2"/>
    <x v="3"/>
    <s v="High"/>
    <s v="No"/>
  </r>
  <r>
    <n v="565"/>
    <n v="28"/>
    <x v="1"/>
    <x v="9"/>
    <s v="Epinephrine Injection"/>
    <n v="100"/>
    <n v="38"/>
    <x v="0"/>
    <x v="0"/>
    <n v="5"/>
    <x v="4"/>
    <s v="Low"/>
    <s v="Yes"/>
  </r>
  <r>
    <n v="566"/>
    <n v="52"/>
    <x v="0"/>
    <x v="10"/>
    <s v="Antibiotics and Rest"/>
    <n v="800"/>
    <n v="39"/>
    <x v="0"/>
    <x v="1"/>
    <n v="4"/>
    <x v="0"/>
    <s v="Low"/>
    <s v="Yes"/>
  </r>
  <r>
    <n v="567"/>
    <n v="67"/>
    <x v="1"/>
    <x v="11"/>
    <s v="Radiation Therapy"/>
    <n v="20000"/>
    <n v="46"/>
    <x v="0"/>
    <x v="0"/>
    <n v="3"/>
    <x v="1"/>
    <s v="High"/>
    <s v="No"/>
  </r>
  <r>
    <n v="568"/>
    <n v="35"/>
    <x v="0"/>
    <x v="12"/>
    <s v="Delivery and Postnatal Care"/>
    <n v="12000"/>
    <n v="40"/>
    <x v="0"/>
    <x v="0"/>
    <n v="4"/>
    <x v="2"/>
    <s v="High"/>
    <s v="Yes"/>
  </r>
  <r>
    <n v="569"/>
    <n v="50"/>
    <x v="1"/>
    <x v="13"/>
    <s v="Lithotripsy"/>
    <n v="6000"/>
    <n v="41"/>
    <x v="0"/>
    <x v="0"/>
    <n v="3"/>
    <x v="0"/>
    <s v="Medium"/>
    <s v="No"/>
  </r>
  <r>
    <n v="570"/>
    <n v="60"/>
    <x v="0"/>
    <x v="14"/>
    <s v="Physical Therapy and Pain Management"/>
    <n v="4000"/>
    <n v="42"/>
    <x v="0"/>
    <x v="1"/>
    <n v="4"/>
    <x v="1"/>
    <s v="Medium"/>
    <s v="Yes"/>
  </r>
  <r>
    <n v="571"/>
    <n v="48"/>
    <x v="0"/>
    <x v="0"/>
    <s v="Angioplasty"/>
    <n v="15000"/>
    <n v="43"/>
    <x v="1"/>
    <x v="0"/>
    <n v="4"/>
    <x v="0"/>
    <s v="High"/>
    <s v="Yes"/>
  </r>
  <r>
    <n v="572"/>
    <n v="65"/>
    <x v="1"/>
    <x v="1"/>
    <s v="Insulin Therapy"/>
    <n v="2000"/>
    <n v="41"/>
    <x v="0"/>
    <x v="1"/>
    <n v="3"/>
    <x v="1"/>
    <s v="Medium"/>
    <s v="No"/>
  </r>
  <r>
    <n v="573"/>
    <n v="30"/>
    <x v="0"/>
    <x v="2"/>
    <s v="X-Ray and Splint"/>
    <n v="500"/>
    <n v="39"/>
    <x v="0"/>
    <x v="0"/>
    <n v="5"/>
    <x v="2"/>
    <s v="Low"/>
    <s v="Yes"/>
  </r>
  <r>
    <n v="574"/>
    <n v="70"/>
    <x v="1"/>
    <x v="3"/>
    <s v="CT Scan and Medication"/>
    <n v="10000"/>
    <n v="46"/>
    <x v="1"/>
    <x v="1"/>
    <n v="2"/>
    <x v="1"/>
    <s v="High"/>
    <s v="No"/>
  </r>
  <r>
    <n v="575"/>
    <n v="55"/>
    <x v="0"/>
    <x v="4"/>
    <s v="Surgery and Chemotherapy"/>
    <n v="25000"/>
    <n v="48"/>
    <x v="0"/>
    <x v="0"/>
    <n v="4"/>
    <x v="0"/>
    <s v="High"/>
    <s v="Yes"/>
  </r>
  <r>
    <n v="576"/>
    <n v="68"/>
    <x v="1"/>
    <x v="5"/>
    <s v="Medication and Counseling"/>
    <n v="1000"/>
    <n v="42"/>
    <x v="0"/>
    <x v="1"/>
    <n v="4"/>
    <x v="1"/>
    <s v="Low"/>
    <s v="Yes"/>
  </r>
  <r>
    <n v="577"/>
    <n v="45"/>
    <x v="0"/>
    <x v="6"/>
    <s v="Appendectomy"/>
    <n v="8000"/>
    <n v="44"/>
    <x v="0"/>
    <x v="0"/>
    <n v="3"/>
    <x v="0"/>
    <s v="Medium"/>
    <s v="No"/>
  </r>
  <r>
    <n v="578"/>
    <n v="40"/>
    <x v="1"/>
    <x v="7"/>
    <s v="Cast and Physical Therapy"/>
    <n v="3000"/>
    <n v="44"/>
    <x v="0"/>
    <x v="0"/>
    <n v="4"/>
    <x v="2"/>
    <s v="Medium"/>
    <s v="Yes"/>
  </r>
  <r>
    <n v="579"/>
    <n v="78"/>
    <x v="0"/>
    <x v="8"/>
    <s v="Cardiac Catheterization"/>
    <n v="18000"/>
    <n v="46"/>
    <x v="1"/>
    <x v="1"/>
    <n v="2"/>
    <x v="3"/>
    <s v="High"/>
    <s v="No"/>
  </r>
  <r>
    <n v="580"/>
    <n v="25"/>
    <x v="1"/>
    <x v="9"/>
    <s v="Epinephrine Injection"/>
    <n v="100"/>
    <n v="39"/>
    <x v="0"/>
    <x v="0"/>
    <n v="5"/>
    <x v="4"/>
    <s v="Low"/>
    <s v="Yes"/>
  </r>
  <r>
    <n v="581"/>
    <n v="52"/>
    <x v="0"/>
    <x v="10"/>
    <s v="Antibiotics and Rest"/>
    <n v="800"/>
    <n v="40"/>
    <x v="0"/>
    <x v="1"/>
    <n v="4"/>
    <x v="0"/>
    <s v="Low"/>
    <s v="Yes"/>
  </r>
  <r>
    <n v="582"/>
    <n v="58"/>
    <x v="1"/>
    <x v="11"/>
    <s v="Radiation Therapy"/>
    <n v="20000"/>
    <n v="47"/>
    <x v="0"/>
    <x v="0"/>
    <n v="3"/>
    <x v="0"/>
    <s v="High"/>
    <s v="No"/>
  </r>
  <r>
    <n v="583"/>
    <n v="32"/>
    <x v="0"/>
    <x v="12"/>
    <s v="Delivery and Postnatal Care"/>
    <n v="12000"/>
    <n v="41"/>
    <x v="0"/>
    <x v="0"/>
    <n v="4"/>
    <x v="2"/>
    <s v="High"/>
    <s v="Yes"/>
  </r>
  <r>
    <n v="584"/>
    <n v="55"/>
    <x v="1"/>
    <x v="13"/>
    <s v="Lithotripsy"/>
    <n v="6000"/>
    <n v="42"/>
    <x v="0"/>
    <x v="0"/>
    <n v="3"/>
    <x v="0"/>
    <s v="Medium"/>
    <s v="No"/>
  </r>
  <r>
    <n v="585"/>
    <n v="65"/>
    <x v="0"/>
    <x v="14"/>
    <s v="Physical Therapy and Pain Management"/>
    <n v="4000"/>
    <n v="43"/>
    <x v="0"/>
    <x v="1"/>
    <n v="4"/>
    <x v="1"/>
    <s v="Medium"/>
    <s v="Yes"/>
  </r>
  <r>
    <n v="586"/>
    <n v="55"/>
    <x v="0"/>
    <x v="0"/>
    <s v="Angioplasty"/>
    <n v="15000"/>
    <n v="44"/>
    <x v="1"/>
    <x v="0"/>
    <n v="3"/>
    <x v="0"/>
    <s v="High"/>
    <s v="No"/>
  </r>
  <r>
    <n v="587"/>
    <n v="62"/>
    <x v="1"/>
    <x v="1"/>
    <s v="Insulin Therapy"/>
    <n v="2000"/>
    <n v="42"/>
    <x v="0"/>
    <x v="1"/>
    <n v="4"/>
    <x v="1"/>
    <s v="Medium"/>
    <s v="Yes"/>
  </r>
  <r>
    <n v="588"/>
    <n v="35"/>
    <x v="0"/>
    <x v="2"/>
    <s v="X-Ray and Splint"/>
    <n v="500"/>
    <n v="40"/>
    <x v="1"/>
    <x v="0"/>
    <n v="5"/>
    <x v="2"/>
    <s v="Low"/>
    <s v="Yes"/>
  </r>
  <r>
    <n v="589"/>
    <n v="78"/>
    <x v="1"/>
    <x v="3"/>
    <s v="CT Scan and Medication"/>
    <n v="10000"/>
    <n v="47"/>
    <x v="0"/>
    <x v="1"/>
    <n v="2"/>
    <x v="3"/>
    <s v="High"/>
    <s v="No"/>
  </r>
  <r>
    <n v="590"/>
    <n v="53"/>
    <x v="0"/>
    <x v="4"/>
    <s v="Surgery and Chemotherapy"/>
    <n v="25000"/>
    <n v="49"/>
    <x v="1"/>
    <x v="0"/>
    <n v="4"/>
    <x v="0"/>
    <s v="High"/>
    <s v="Yes"/>
  </r>
  <r>
    <n v="591"/>
    <n v="72"/>
    <x v="1"/>
    <x v="5"/>
    <s v="Medication and Counseling"/>
    <n v="1000"/>
    <n v="43"/>
    <x v="0"/>
    <x v="1"/>
    <n v="4"/>
    <x v="1"/>
    <s v="Low"/>
    <s v="Yes"/>
  </r>
  <r>
    <n v="592"/>
    <n v="60"/>
    <x v="0"/>
    <x v="6"/>
    <s v="Appendectomy"/>
    <n v="8000"/>
    <n v="45"/>
    <x v="1"/>
    <x v="0"/>
    <n v="3"/>
    <x v="1"/>
    <s v="Medium"/>
    <s v="No"/>
  </r>
  <r>
    <n v="593"/>
    <n v="45"/>
    <x v="1"/>
    <x v="7"/>
    <s v="Cast and Physical Therapy"/>
    <n v="3000"/>
    <n v="45"/>
    <x v="0"/>
    <x v="0"/>
    <n v="4"/>
    <x v="0"/>
    <s v="Medium"/>
    <s v="Yes"/>
  </r>
  <r>
    <n v="594"/>
    <n v="75"/>
    <x v="0"/>
    <x v="8"/>
    <s v="Cardiac Catheterization"/>
    <n v="18000"/>
    <n v="47"/>
    <x v="1"/>
    <x v="1"/>
    <n v="2"/>
    <x v="3"/>
    <s v="High"/>
    <s v="No"/>
  </r>
  <r>
    <n v="595"/>
    <n v="28"/>
    <x v="1"/>
    <x v="9"/>
    <s v="Epinephrine Injection"/>
    <n v="100"/>
    <n v="40"/>
    <x v="0"/>
    <x v="0"/>
    <n v="5"/>
    <x v="4"/>
    <s v="Low"/>
    <s v="Yes"/>
  </r>
  <r>
    <n v="596"/>
    <n v="52"/>
    <x v="0"/>
    <x v="10"/>
    <s v="Antibiotics and Rest"/>
    <n v="800"/>
    <n v="41"/>
    <x v="0"/>
    <x v="1"/>
    <n v="4"/>
    <x v="0"/>
    <s v="Low"/>
    <s v="Yes"/>
  </r>
  <r>
    <n v="597"/>
    <n v="67"/>
    <x v="1"/>
    <x v="11"/>
    <s v="Radiation Therapy"/>
    <n v="20000"/>
    <n v="48"/>
    <x v="0"/>
    <x v="0"/>
    <n v="3"/>
    <x v="1"/>
    <s v="High"/>
    <s v="No"/>
  </r>
  <r>
    <n v="598"/>
    <n v="35"/>
    <x v="0"/>
    <x v="12"/>
    <s v="Delivery and Postnatal Care"/>
    <n v="12000"/>
    <n v="42"/>
    <x v="0"/>
    <x v="0"/>
    <n v="4"/>
    <x v="2"/>
    <s v="High"/>
    <s v="Yes"/>
  </r>
  <r>
    <n v="599"/>
    <n v="50"/>
    <x v="1"/>
    <x v="13"/>
    <s v="Lithotripsy"/>
    <n v="6000"/>
    <n v="43"/>
    <x v="0"/>
    <x v="0"/>
    <n v="3"/>
    <x v="0"/>
    <s v="Medium"/>
    <s v="No"/>
  </r>
  <r>
    <n v="601"/>
    <n v="48"/>
    <x v="0"/>
    <x v="0"/>
    <s v="Angioplasty"/>
    <n v="15000"/>
    <n v="45"/>
    <x v="1"/>
    <x v="0"/>
    <n v="4"/>
    <x v="0"/>
    <s v="High"/>
    <s v="Yes"/>
  </r>
  <r>
    <n v="602"/>
    <n v="65"/>
    <x v="1"/>
    <x v="1"/>
    <s v="Insulin Therapy"/>
    <n v="2000"/>
    <n v="43"/>
    <x v="0"/>
    <x v="1"/>
    <n v="3"/>
    <x v="1"/>
    <s v="Medium"/>
    <s v="No"/>
  </r>
  <r>
    <n v="603"/>
    <n v="30"/>
    <x v="0"/>
    <x v="2"/>
    <s v="X-Ray and Splint"/>
    <n v="500"/>
    <n v="41"/>
    <x v="0"/>
    <x v="0"/>
    <n v="5"/>
    <x v="2"/>
    <s v="Low"/>
    <s v="Yes"/>
  </r>
  <r>
    <n v="604"/>
    <n v="70"/>
    <x v="1"/>
    <x v="3"/>
    <s v="CT Scan and Medication"/>
    <n v="10000"/>
    <n v="48"/>
    <x v="1"/>
    <x v="1"/>
    <n v="2"/>
    <x v="1"/>
    <s v="High"/>
    <s v="No"/>
  </r>
  <r>
    <n v="605"/>
    <n v="55"/>
    <x v="0"/>
    <x v="4"/>
    <s v="Surgery and Chemotherapy"/>
    <n v="25000"/>
    <n v="50"/>
    <x v="0"/>
    <x v="0"/>
    <n v="4"/>
    <x v="0"/>
    <s v="High"/>
    <s v="Yes"/>
  </r>
  <r>
    <n v="606"/>
    <n v="68"/>
    <x v="1"/>
    <x v="5"/>
    <s v="Medication and Counseling"/>
    <n v="1000"/>
    <n v="44"/>
    <x v="0"/>
    <x v="1"/>
    <n v="4"/>
    <x v="1"/>
    <s v="Low"/>
    <s v="Yes"/>
  </r>
  <r>
    <n v="607"/>
    <n v="45"/>
    <x v="0"/>
    <x v="6"/>
    <s v="Appendectomy"/>
    <n v="8000"/>
    <n v="46"/>
    <x v="0"/>
    <x v="0"/>
    <n v="3"/>
    <x v="0"/>
    <s v="Medium"/>
    <s v="No"/>
  </r>
  <r>
    <n v="608"/>
    <n v="40"/>
    <x v="1"/>
    <x v="7"/>
    <s v="Cast and Physical Therapy"/>
    <n v="3000"/>
    <n v="46"/>
    <x v="0"/>
    <x v="0"/>
    <n v="4"/>
    <x v="2"/>
    <s v="Medium"/>
    <s v="Yes"/>
  </r>
  <r>
    <n v="609"/>
    <n v="78"/>
    <x v="0"/>
    <x v="8"/>
    <s v="Cardiac Catheterization"/>
    <n v="18000"/>
    <n v="48"/>
    <x v="1"/>
    <x v="1"/>
    <n v="2"/>
    <x v="3"/>
    <s v="High"/>
    <s v="No"/>
  </r>
  <r>
    <n v="610"/>
    <n v="25"/>
    <x v="1"/>
    <x v="9"/>
    <s v="Epinephrine Injection"/>
    <n v="100"/>
    <n v="41"/>
    <x v="0"/>
    <x v="0"/>
    <n v="5"/>
    <x v="4"/>
    <s v="Low"/>
    <s v="Yes"/>
  </r>
  <r>
    <n v="611"/>
    <n v="52"/>
    <x v="0"/>
    <x v="10"/>
    <s v="Antibiotics and Rest"/>
    <n v="800"/>
    <n v="42"/>
    <x v="0"/>
    <x v="1"/>
    <n v="4"/>
    <x v="0"/>
    <s v="Low"/>
    <s v="Yes"/>
  </r>
  <r>
    <n v="612"/>
    <n v="58"/>
    <x v="1"/>
    <x v="11"/>
    <s v="Radiation Therapy"/>
    <n v="20000"/>
    <n v="49"/>
    <x v="0"/>
    <x v="0"/>
    <n v="3"/>
    <x v="0"/>
    <s v="High"/>
    <s v="No"/>
  </r>
  <r>
    <n v="613"/>
    <n v="32"/>
    <x v="0"/>
    <x v="12"/>
    <s v="Delivery and Postnatal Care"/>
    <n v="12000"/>
    <n v="43"/>
    <x v="0"/>
    <x v="0"/>
    <n v="4"/>
    <x v="2"/>
    <s v="High"/>
    <s v="Yes"/>
  </r>
  <r>
    <n v="614"/>
    <n v="55"/>
    <x v="1"/>
    <x v="13"/>
    <s v="Lithotripsy"/>
    <n v="6000"/>
    <n v="44"/>
    <x v="0"/>
    <x v="0"/>
    <n v="3"/>
    <x v="0"/>
    <s v="Medium"/>
    <s v="No"/>
  </r>
  <r>
    <n v="615"/>
    <n v="65"/>
    <x v="0"/>
    <x v="14"/>
    <s v="Physical Therapy and Pain Management"/>
    <n v="4000"/>
    <n v="45"/>
    <x v="0"/>
    <x v="1"/>
    <n v="4"/>
    <x v="1"/>
    <s v="Medium"/>
    <s v="Yes"/>
  </r>
  <r>
    <n v="616"/>
    <n v="55"/>
    <x v="0"/>
    <x v="0"/>
    <s v="Angioplasty"/>
    <n v="15000"/>
    <n v="46"/>
    <x v="1"/>
    <x v="0"/>
    <n v="3"/>
    <x v="0"/>
    <s v="High"/>
    <s v="No"/>
  </r>
  <r>
    <n v="617"/>
    <n v="62"/>
    <x v="1"/>
    <x v="1"/>
    <s v="Insulin Therapy"/>
    <n v="2000"/>
    <n v="44"/>
    <x v="0"/>
    <x v="1"/>
    <n v="4"/>
    <x v="1"/>
    <s v="Medium"/>
    <s v="Yes"/>
  </r>
  <r>
    <n v="618"/>
    <n v="35"/>
    <x v="0"/>
    <x v="2"/>
    <s v="X-Ray and Splint"/>
    <n v="500"/>
    <n v="42"/>
    <x v="1"/>
    <x v="0"/>
    <n v="5"/>
    <x v="2"/>
    <s v="Low"/>
    <s v="Yes"/>
  </r>
  <r>
    <n v="619"/>
    <n v="78"/>
    <x v="1"/>
    <x v="3"/>
    <s v="CT Scan and Medication"/>
    <n v="10000"/>
    <n v="49"/>
    <x v="0"/>
    <x v="1"/>
    <n v="2"/>
    <x v="3"/>
    <s v="High"/>
    <s v="No"/>
  </r>
  <r>
    <n v="620"/>
    <n v="53"/>
    <x v="0"/>
    <x v="4"/>
    <s v="Surgery and Chemotherapy"/>
    <n v="25000"/>
    <n v="51"/>
    <x v="1"/>
    <x v="0"/>
    <n v="4"/>
    <x v="0"/>
    <s v="High"/>
    <s v="Yes"/>
  </r>
  <r>
    <n v="621"/>
    <n v="72"/>
    <x v="1"/>
    <x v="5"/>
    <s v="Medication and Counseling"/>
    <n v="1000"/>
    <n v="45"/>
    <x v="0"/>
    <x v="1"/>
    <n v="4"/>
    <x v="1"/>
    <s v="Low"/>
    <s v="Yes"/>
  </r>
  <r>
    <n v="622"/>
    <n v="60"/>
    <x v="0"/>
    <x v="6"/>
    <s v="Appendectomy"/>
    <n v="8000"/>
    <n v="47"/>
    <x v="1"/>
    <x v="0"/>
    <n v="3"/>
    <x v="1"/>
    <s v="Medium"/>
    <s v="No"/>
  </r>
  <r>
    <n v="623"/>
    <n v="45"/>
    <x v="1"/>
    <x v="7"/>
    <s v="Cast and Physical Therapy"/>
    <n v="3000"/>
    <n v="47"/>
    <x v="0"/>
    <x v="0"/>
    <n v="4"/>
    <x v="0"/>
    <s v="Medium"/>
    <s v="Yes"/>
  </r>
  <r>
    <n v="624"/>
    <n v="75"/>
    <x v="0"/>
    <x v="8"/>
    <s v="Cardiac Catheterization"/>
    <n v="18000"/>
    <n v="49"/>
    <x v="1"/>
    <x v="1"/>
    <n v="2"/>
    <x v="3"/>
    <s v="High"/>
    <s v="No"/>
  </r>
  <r>
    <n v="625"/>
    <n v="28"/>
    <x v="1"/>
    <x v="9"/>
    <s v="Epinephrine Injection"/>
    <n v="100"/>
    <n v="42"/>
    <x v="0"/>
    <x v="0"/>
    <n v="5"/>
    <x v="4"/>
    <s v="Low"/>
    <s v="Yes"/>
  </r>
  <r>
    <n v="626"/>
    <n v="52"/>
    <x v="0"/>
    <x v="10"/>
    <s v="Antibiotics and Rest"/>
    <n v="800"/>
    <n v="43"/>
    <x v="0"/>
    <x v="1"/>
    <n v="4"/>
    <x v="0"/>
    <s v="Low"/>
    <s v="Yes"/>
  </r>
  <r>
    <n v="627"/>
    <n v="67"/>
    <x v="1"/>
    <x v="11"/>
    <s v="Radiation Therapy"/>
    <n v="20000"/>
    <n v="50"/>
    <x v="0"/>
    <x v="0"/>
    <n v="3"/>
    <x v="1"/>
    <s v="High"/>
    <s v="No"/>
  </r>
  <r>
    <n v="628"/>
    <n v="35"/>
    <x v="0"/>
    <x v="12"/>
    <s v="Delivery and Postnatal Care"/>
    <n v="12000"/>
    <n v="44"/>
    <x v="0"/>
    <x v="0"/>
    <n v="4"/>
    <x v="2"/>
    <s v="High"/>
    <s v="Yes"/>
  </r>
  <r>
    <n v="629"/>
    <n v="50"/>
    <x v="1"/>
    <x v="13"/>
    <s v="Lithotripsy"/>
    <n v="6000"/>
    <n v="45"/>
    <x v="0"/>
    <x v="0"/>
    <n v="3"/>
    <x v="0"/>
    <s v="Medium"/>
    <s v="No"/>
  </r>
  <r>
    <n v="630"/>
    <n v="60"/>
    <x v="0"/>
    <x v="14"/>
    <s v="Physical Therapy and Pain Management"/>
    <n v="4000"/>
    <n v="46"/>
    <x v="0"/>
    <x v="1"/>
    <n v="4"/>
    <x v="1"/>
    <s v="Medium"/>
    <s v="Yes"/>
  </r>
  <r>
    <n v="631"/>
    <n v="48"/>
    <x v="0"/>
    <x v="0"/>
    <s v="Angioplasty"/>
    <n v="15000"/>
    <n v="47"/>
    <x v="1"/>
    <x v="0"/>
    <n v="4"/>
    <x v="0"/>
    <s v="High"/>
    <s v="Yes"/>
  </r>
  <r>
    <n v="632"/>
    <n v="65"/>
    <x v="1"/>
    <x v="1"/>
    <s v="Insulin Therapy"/>
    <n v="2000"/>
    <n v="45"/>
    <x v="0"/>
    <x v="1"/>
    <n v="3"/>
    <x v="1"/>
    <s v="Medium"/>
    <s v="No"/>
  </r>
  <r>
    <n v="633"/>
    <n v="30"/>
    <x v="0"/>
    <x v="2"/>
    <s v="X-Ray and Splint"/>
    <n v="500"/>
    <n v="43"/>
    <x v="0"/>
    <x v="0"/>
    <n v="5"/>
    <x v="2"/>
    <s v="Low"/>
    <s v="Yes"/>
  </r>
  <r>
    <n v="634"/>
    <n v="70"/>
    <x v="1"/>
    <x v="3"/>
    <s v="CT Scan and Medication"/>
    <n v="10000"/>
    <n v="50"/>
    <x v="1"/>
    <x v="1"/>
    <n v="2"/>
    <x v="1"/>
    <s v="High"/>
    <s v="No"/>
  </r>
  <r>
    <n v="635"/>
    <n v="55"/>
    <x v="0"/>
    <x v="4"/>
    <s v="Surgery and Chemotherapy"/>
    <n v="25000"/>
    <n v="52"/>
    <x v="0"/>
    <x v="0"/>
    <n v="4"/>
    <x v="0"/>
    <s v="High"/>
    <s v="Yes"/>
  </r>
  <r>
    <n v="636"/>
    <n v="68"/>
    <x v="1"/>
    <x v="5"/>
    <s v="Medication and Counseling"/>
    <n v="1000"/>
    <n v="46"/>
    <x v="0"/>
    <x v="1"/>
    <n v="4"/>
    <x v="1"/>
    <s v="Low"/>
    <s v="Yes"/>
  </r>
  <r>
    <n v="637"/>
    <n v="45"/>
    <x v="0"/>
    <x v="6"/>
    <s v="Appendectomy"/>
    <n v="8000"/>
    <n v="48"/>
    <x v="0"/>
    <x v="0"/>
    <n v="3"/>
    <x v="0"/>
    <s v="Medium"/>
    <s v="No"/>
  </r>
  <r>
    <n v="638"/>
    <n v="40"/>
    <x v="1"/>
    <x v="7"/>
    <s v="Cast and Physical Therapy"/>
    <n v="3000"/>
    <n v="48"/>
    <x v="0"/>
    <x v="0"/>
    <n v="4"/>
    <x v="2"/>
    <s v="Medium"/>
    <s v="Yes"/>
  </r>
  <r>
    <n v="639"/>
    <n v="78"/>
    <x v="0"/>
    <x v="8"/>
    <s v="Cardiac Catheterization"/>
    <n v="18000"/>
    <n v="50"/>
    <x v="1"/>
    <x v="1"/>
    <n v="2"/>
    <x v="3"/>
    <s v="High"/>
    <s v="No"/>
  </r>
  <r>
    <n v="640"/>
    <n v="25"/>
    <x v="1"/>
    <x v="9"/>
    <s v="Epinephrine Injection"/>
    <n v="100"/>
    <n v="43"/>
    <x v="0"/>
    <x v="0"/>
    <n v="5"/>
    <x v="4"/>
    <s v="Low"/>
    <s v="Yes"/>
  </r>
  <r>
    <n v="641"/>
    <n v="52"/>
    <x v="0"/>
    <x v="10"/>
    <s v="Antibiotics and Rest"/>
    <n v="800"/>
    <n v="44"/>
    <x v="0"/>
    <x v="1"/>
    <n v="4"/>
    <x v="0"/>
    <s v="Low"/>
    <s v="Yes"/>
  </r>
  <r>
    <n v="642"/>
    <n v="58"/>
    <x v="1"/>
    <x v="11"/>
    <s v="Radiation Therapy"/>
    <n v="20000"/>
    <n v="51"/>
    <x v="0"/>
    <x v="0"/>
    <n v="3"/>
    <x v="0"/>
    <s v="High"/>
    <s v="No"/>
  </r>
  <r>
    <n v="643"/>
    <n v="32"/>
    <x v="0"/>
    <x v="12"/>
    <s v="Delivery and Postnatal Care"/>
    <n v="12000"/>
    <n v="45"/>
    <x v="0"/>
    <x v="0"/>
    <n v="4"/>
    <x v="2"/>
    <s v="High"/>
    <s v="Yes"/>
  </r>
  <r>
    <n v="644"/>
    <n v="55"/>
    <x v="1"/>
    <x v="13"/>
    <s v="Lithotripsy"/>
    <n v="6000"/>
    <n v="46"/>
    <x v="0"/>
    <x v="0"/>
    <n v="3"/>
    <x v="0"/>
    <s v="Medium"/>
    <s v="No"/>
  </r>
  <r>
    <n v="645"/>
    <n v="65"/>
    <x v="0"/>
    <x v="14"/>
    <s v="Physical Therapy and Pain Management"/>
    <n v="4000"/>
    <n v="47"/>
    <x v="0"/>
    <x v="1"/>
    <n v="4"/>
    <x v="1"/>
    <s v="Medium"/>
    <s v="Yes"/>
  </r>
  <r>
    <n v="646"/>
    <n v="55"/>
    <x v="0"/>
    <x v="0"/>
    <s v="Angioplasty"/>
    <n v="15000"/>
    <n v="48"/>
    <x v="1"/>
    <x v="0"/>
    <n v="3"/>
    <x v="0"/>
    <s v="High"/>
    <s v="No"/>
  </r>
  <r>
    <n v="647"/>
    <n v="62"/>
    <x v="1"/>
    <x v="1"/>
    <s v="Insulin Therapy"/>
    <n v="2000"/>
    <n v="46"/>
    <x v="0"/>
    <x v="1"/>
    <n v="4"/>
    <x v="1"/>
    <s v="Medium"/>
    <s v="Yes"/>
  </r>
  <r>
    <n v="648"/>
    <n v="35"/>
    <x v="0"/>
    <x v="2"/>
    <s v="X-Ray and Splint"/>
    <n v="500"/>
    <n v="44"/>
    <x v="1"/>
    <x v="0"/>
    <n v="5"/>
    <x v="2"/>
    <s v="Low"/>
    <s v="Yes"/>
  </r>
  <r>
    <n v="649"/>
    <n v="78"/>
    <x v="1"/>
    <x v="3"/>
    <s v="CT Scan and Medication"/>
    <n v="10000"/>
    <n v="51"/>
    <x v="0"/>
    <x v="1"/>
    <n v="2"/>
    <x v="3"/>
    <s v="High"/>
    <s v="No"/>
  </r>
  <r>
    <n v="650"/>
    <n v="53"/>
    <x v="0"/>
    <x v="4"/>
    <s v="Surgery and Chemotherapy"/>
    <n v="25000"/>
    <n v="53"/>
    <x v="1"/>
    <x v="0"/>
    <n v="4"/>
    <x v="0"/>
    <s v="High"/>
    <s v="Yes"/>
  </r>
  <r>
    <n v="651"/>
    <n v="72"/>
    <x v="1"/>
    <x v="5"/>
    <s v="Medication and Counseling"/>
    <n v="1000"/>
    <n v="47"/>
    <x v="0"/>
    <x v="1"/>
    <n v="4"/>
    <x v="1"/>
    <s v="Low"/>
    <s v="Yes"/>
  </r>
  <r>
    <n v="652"/>
    <n v="60"/>
    <x v="0"/>
    <x v="6"/>
    <s v="Appendectomy"/>
    <n v="8000"/>
    <n v="49"/>
    <x v="1"/>
    <x v="0"/>
    <n v="3"/>
    <x v="1"/>
    <s v="Medium"/>
    <s v="No"/>
  </r>
  <r>
    <n v="653"/>
    <n v="45"/>
    <x v="1"/>
    <x v="7"/>
    <s v="Cast and Physical Therapy"/>
    <n v="3000"/>
    <n v="49"/>
    <x v="0"/>
    <x v="0"/>
    <n v="4"/>
    <x v="0"/>
    <s v="Medium"/>
    <s v="Yes"/>
  </r>
  <r>
    <n v="654"/>
    <n v="75"/>
    <x v="0"/>
    <x v="8"/>
    <s v="Cardiac Catheterization"/>
    <n v="18000"/>
    <n v="51"/>
    <x v="1"/>
    <x v="1"/>
    <n v="2"/>
    <x v="3"/>
    <s v="High"/>
    <s v="No"/>
  </r>
  <r>
    <n v="655"/>
    <n v="28"/>
    <x v="1"/>
    <x v="9"/>
    <s v="Epinephrine Injection"/>
    <n v="100"/>
    <n v="44"/>
    <x v="0"/>
    <x v="0"/>
    <n v="5"/>
    <x v="4"/>
    <s v="Low"/>
    <s v="Yes"/>
  </r>
  <r>
    <n v="656"/>
    <n v="52"/>
    <x v="0"/>
    <x v="10"/>
    <s v="Antibiotics and Rest"/>
    <n v="800"/>
    <n v="45"/>
    <x v="0"/>
    <x v="1"/>
    <n v="4"/>
    <x v="0"/>
    <s v="Low"/>
    <s v="Yes"/>
  </r>
  <r>
    <n v="657"/>
    <n v="67"/>
    <x v="1"/>
    <x v="11"/>
    <s v="Radiation Therapy"/>
    <n v="20000"/>
    <n v="52"/>
    <x v="0"/>
    <x v="0"/>
    <n v="3"/>
    <x v="1"/>
    <s v="High"/>
    <s v="No"/>
  </r>
  <r>
    <n v="658"/>
    <n v="35"/>
    <x v="0"/>
    <x v="12"/>
    <s v="Delivery and Postnatal Care"/>
    <n v="12000"/>
    <n v="46"/>
    <x v="0"/>
    <x v="0"/>
    <n v="4"/>
    <x v="2"/>
    <s v="High"/>
    <s v="Yes"/>
  </r>
  <r>
    <n v="659"/>
    <n v="50"/>
    <x v="1"/>
    <x v="13"/>
    <s v="Lithotripsy"/>
    <n v="6000"/>
    <n v="47"/>
    <x v="0"/>
    <x v="0"/>
    <n v="3"/>
    <x v="0"/>
    <s v="Medium"/>
    <s v="No"/>
  </r>
  <r>
    <n v="660"/>
    <n v="60"/>
    <x v="0"/>
    <x v="14"/>
    <s v="Physical Therapy and Pain Management"/>
    <n v="4000"/>
    <n v="48"/>
    <x v="0"/>
    <x v="1"/>
    <n v="4"/>
    <x v="1"/>
    <s v="Medium"/>
    <s v="Yes"/>
  </r>
  <r>
    <n v="662"/>
    <n v="65"/>
    <x v="1"/>
    <x v="1"/>
    <s v="Insulin Therapy"/>
    <n v="2000"/>
    <n v="47"/>
    <x v="0"/>
    <x v="1"/>
    <n v="3"/>
    <x v="1"/>
    <s v="Medium"/>
    <s v="No"/>
  </r>
  <r>
    <n v="663"/>
    <n v="30"/>
    <x v="0"/>
    <x v="2"/>
    <s v="X-Ray and Splint"/>
    <n v="500"/>
    <n v="45"/>
    <x v="0"/>
    <x v="0"/>
    <n v="5"/>
    <x v="2"/>
    <s v="Low"/>
    <s v="Yes"/>
  </r>
  <r>
    <n v="664"/>
    <n v="70"/>
    <x v="1"/>
    <x v="3"/>
    <s v="CT Scan and Medication"/>
    <n v="10000"/>
    <n v="52"/>
    <x v="1"/>
    <x v="1"/>
    <n v="2"/>
    <x v="1"/>
    <s v="High"/>
    <s v="No"/>
  </r>
  <r>
    <n v="665"/>
    <n v="55"/>
    <x v="0"/>
    <x v="4"/>
    <s v="Surgery and Chemotherapy"/>
    <n v="25000"/>
    <n v="54"/>
    <x v="0"/>
    <x v="0"/>
    <n v="4"/>
    <x v="0"/>
    <s v="High"/>
    <s v="Yes"/>
  </r>
  <r>
    <n v="666"/>
    <n v="68"/>
    <x v="1"/>
    <x v="5"/>
    <s v="Medication and Counseling"/>
    <n v="1000"/>
    <n v="48"/>
    <x v="0"/>
    <x v="1"/>
    <n v="4"/>
    <x v="1"/>
    <s v="Low"/>
    <s v="Yes"/>
  </r>
  <r>
    <n v="667"/>
    <n v="45"/>
    <x v="0"/>
    <x v="6"/>
    <s v="Appendectomy"/>
    <n v="8000"/>
    <n v="50"/>
    <x v="0"/>
    <x v="0"/>
    <n v="3"/>
    <x v="0"/>
    <s v="Medium"/>
    <s v="No"/>
  </r>
  <r>
    <n v="668"/>
    <n v="40"/>
    <x v="1"/>
    <x v="7"/>
    <s v="Cast and Physical Therapy"/>
    <n v="3000"/>
    <n v="50"/>
    <x v="0"/>
    <x v="0"/>
    <n v="4"/>
    <x v="2"/>
    <s v="Medium"/>
    <s v="Yes"/>
  </r>
  <r>
    <n v="669"/>
    <n v="78"/>
    <x v="0"/>
    <x v="8"/>
    <s v="Cardiac Catheterization"/>
    <n v="18000"/>
    <n v="52"/>
    <x v="1"/>
    <x v="1"/>
    <n v="2"/>
    <x v="3"/>
    <s v="High"/>
    <s v="No"/>
  </r>
  <r>
    <n v="670"/>
    <n v="25"/>
    <x v="1"/>
    <x v="9"/>
    <s v="Epinephrine Injection"/>
    <n v="100"/>
    <n v="45"/>
    <x v="0"/>
    <x v="0"/>
    <n v="5"/>
    <x v="4"/>
    <s v="Low"/>
    <s v="Yes"/>
  </r>
  <r>
    <n v="671"/>
    <n v="52"/>
    <x v="0"/>
    <x v="10"/>
    <s v="Antibiotics and Rest"/>
    <n v="800"/>
    <n v="46"/>
    <x v="0"/>
    <x v="1"/>
    <n v="4"/>
    <x v="0"/>
    <s v="Low"/>
    <s v="Yes"/>
  </r>
  <r>
    <n v="672"/>
    <n v="58"/>
    <x v="1"/>
    <x v="11"/>
    <s v="Radiation Therapy"/>
    <n v="20000"/>
    <n v="53"/>
    <x v="0"/>
    <x v="0"/>
    <n v="3"/>
    <x v="0"/>
    <s v="High"/>
    <s v="No"/>
  </r>
  <r>
    <n v="673"/>
    <n v="32"/>
    <x v="0"/>
    <x v="12"/>
    <s v="Delivery and Postnatal Care"/>
    <n v="12000"/>
    <n v="47"/>
    <x v="0"/>
    <x v="0"/>
    <n v="4"/>
    <x v="2"/>
    <s v="High"/>
    <s v="Yes"/>
  </r>
  <r>
    <n v="674"/>
    <n v="55"/>
    <x v="1"/>
    <x v="13"/>
    <s v="Lithotripsy"/>
    <n v="6000"/>
    <n v="48"/>
    <x v="0"/>
    <x v="0"/>
    <n v="3"/>
    <x v="0"/>
    <s v="Medium"/>
    <s v="No"/>
  </r>
  <r>
    <n v="675"/>
    <n v="65"/>
    <x v="0"/>
    <x v="14"/>
    <s v="Physical Therapy and Pain Management"/>
    <n v="4000"/>
    <n v="49"/>
    <x v="0"/>
    <x v="1"/>
    <n v="4"/>
    <x v="1"/>
    <s v="Medium"/>
    <s v="Yes"/>
  </r>
  <r>
    <n v="676"/>
    <n v="55"/>
    <x v="0"/>
    <x v="0"/>
    <s v="Angioplasty"/>
    <n v="15000"/>
    <n v="50"/>
    <x v="1"/>
    <x v="0"/>
    <n v="3"/>
    <x v="0"/>
    <s v="High"/>
    <s v="No"/>
  </r>
  <r>
    <n v="677"/>
    <n v="62"/>
    <x v="1"/>
    <x v="1"/>
    <s v="Insulin Therapy"/>
    <n v="2000"/>
    <n v="48"/>
    <x v="0"/>
    <x v="1"/>
    <n v="4"/>
    <x v="1"/>
    <s v="Medium"/>
    <s v="Yes"/>
  </r>
  <r>
    <n v="678"/>
    <n v="35"/>
    <x v="0"/>
    <x v="2"/>
    <s v="X-Ray and Splint"/>
    <n v="500"/>
    <n v="46"/>
    <x v="1"/>
    <x v="0"/>
    <n v="5"/>
    <x v="2"/>
    <s v="Low"/>
    <s v="Yes"/>
  </r>
  <r>
    <n v="679"/>
    <n v="78"/>
    <x v="1"/>
    <x v="3"/>
    <s v="CT Scan and Medication"/>
    <n v="10000"/>
    <n v="53"/>
    <x v="0"/>
    <x v="1"/>
    <n v="2"/>
    <x v="3"/>
    <s v="High"/>
    <s v="No"/>
  </r>
  <r>
    <n v="680"/>
    <n v="53"/>
    <x v="0"/>
    <x v="4"/>
    <s v="Surgery and Chemotherapy"/>
    <n v="25000"/>
    <n v="55"/>
    <x v="1"/>
    <x v="0"/>
    <n v="4"/>
    <x v="0"/>
    <s v="High"/>
    <s v="Yes"/>
  </r>
  <r>
    <n v="681"/>
    <n v="72"/>
    <x v="1"/>
    <x v="5"/>
    <s v="Medication and Counseling"/>
    <n v="1000"/>
    <n v="49"/>
    <x v="0"/>
    <x v="1"/>
    <n v="4"/>
    <x v="1"/>
    <s v="Low"/>
    <s v="Yes"/>
  </r>
  <r>
    <n v="682"/>
    <n v="60"/>
    <x v="0"/>
    <x v="6"/>
    <s v="Appendectomy"/>
    <n v="8000"/>
    <n v="51"/>
    <x v="1"/>
    <x v="0"/>
    <n v="3"/>
    <x v="1"/>
    <s v="Medium"/>
    <s v="No"/>
  </r>
  <r>
    <n v="683"/>
    <n v="45"/>
    <x v="1"/>
    <x v="7"/>
    <s v="Cast and Physical Therapy"/>
    <n v="3000"/>
    <n v="51"/>
    <x v="0"/>
    <x v="0"/>
    <n v="4"/>
    <x v="0"/>
    <s v="Medium"/>
    <s v="Yes"/>
  </r>
  <r>
    <n v="684"/>
    <n v="75"/>
    <x v="0"/>
    <x v="8"/>
    <s v="Cardiac Catheterization"/>
    <n v="18000"/>
    <n v="53"/>
    <x v="1"/>
    <x v="1"/>
    <n v="2"/>
    <x v="3"/>
    <s v="High"/>
    <s v="No"/>
  </r>
  <r>
    <n v="685"/>
    <n v="28"/>
    <x v="1"/>
    <x v="9"/>
    <s v="Epinephrine Injection"/>
    <n v="100"/>
    <n v="46"/>
    <x v="0"/>
    <x v="0"/>
    <n v="5"/>
    <x v="4"/>
    <s v="Low"/>
    <s v="Yes"/>
  </r>
  <r>
    <n v="686"/>
    <n v="52"/>
    <x v="0"/>
    <x v="10"/>
    <s v="Antibiotics and Rest"/>
    <n v="800"/>
    <n v="47"/>
    <x v="0"/>
    <x v="1"/>
    <n v="4"/>
    <x v="0"/>
    <s v="Low"/>
    <s v="Yes"/>
  </r>
  <r>
    <n v="687"/>
    <n v="67"/>
    <x v="1"/>
    <x v="11"/>
    <s v="Radiation Therapy"/>
    <n v="20000"/>
    <n v="54"/>
    <x v="0"/>
    <x v="0"/>
    <n v="3"/>
    <x v="1"/>
    <s v="High"/>
    <s v="No"/>
  </r>
  <r>
    <n v="688"/>
    <n v="35"/>
    <x v="0"/>
    <x v="12"/>
    <s v="Delivery and Postnatal Care"/>
    <n v="12000"/>
    <n v="48"/>
    <x v="0"/>
    <x v="0"/>
    <n v="4"/>
    <x v="2"/>
    <s v="High"/>
    <s v="Yes"/>
  </r>
  <r>
    <n v="689"/>
    <n v="50"/>
    <x v="1"/>
    <x v="13"/>
    <s v="Lithotripsy"/>
    <n v="6000"/>
    <n v="49"/>
    <x v="0"/>
    <x v="0"/>
    <n v="3"/>
    <x v="0"/>
    <s v="Medium"/>
    <s v="No"/>
  </r>
  <r>
    <n v="690"/>
    <n v="60"/>
    <x v="0"/>
    <x v="14"/>
    <s v="Physical Therapy and Pain Management"/>
    <n v="4000"/>
    <n v="50"/>
    <x v="0"/>
    <x v="1"/>
    <n v="4"/>
    <x v="1"/>
    <s v="Medium"/>
    <s v="Yes"/>
  </r>
  <r>
    <n v="691"/>
    <n v="48"/>
    <x v="0"/>
    <x v="0"/>
    <s v="Angioplasty"/>
    <n v="15000"/>
    <n v="51"/>
    <x v="1"/>
    <x v="0"/>
    <n v="4"/>
    <x v="0"/>
    <s v="High"/>
    <s v="Yes"/>
  </r>
  <r>
    <n v="692"/>
    <n v="65"/>
    <x v="1"/>
    <x v="1"/>
    <s v="Insulin Therapy"/>
    <n v="2000"/>
    <n v="49"/>
    <x v="0"/>
    <x v="1"/>
    <n v="3"/>
    <x v="1"/>
    <s v="Medium"/>
    <s v="No"/>
  </r>
  <r>
    <n v="693"/>
    <n v="30"/>
    <x v="0"/>
    <x v="2"/>
    <s v="X-Ray and Splint"/>
    <n v="500"/>
    <n v="47"/>
    <x v="0"/>
    <x v="0"/>
    <n v="5"/>
    <x v="2"/>
    <s v="Low"/>
    <s v="Yes"/>
  </r>
  <r>
    <n v="694"/>
    <n v="70"/>
    <x v="1"/>
    <x v="3"/>
    <s v="CT Scan and Medication"/>
    <n v="10000"/>
    <n v="54"/>
    <x v="1"/>
    <x v="1"/>
    <n v="2"/>
    <x v="1"/>
    <s v="High"/>
    <s v="No"/>
  </r>
  <r>
    <n v="695"/>
    <n v="55"/>
    <x v="0"/>
    <x v="4"/>
    <s v="Surgery and Chemotherapy"/>
    <n v="25000"/>
    <n v="56"/>
    <x v="0"/>
    <x v="0"/>
    <n v="4"/>
    <x v="0"/>
    <s v="High"/>
    <s v="Yes"/>
  </r>
  <r>
    <n v="696"/>
    <n v="68"/>
    <x v="1"/>
    <x v="5"/>
    <s v="Medication and Counseling"/>
    <n v="1000"/>
    <n v="50"/>
    <x v="0"/>
    <x v="1"/>
    <n v="4"/>
    <x v="1"/>
    <s v="Low"/>
    <s v="Yes"/>
  </r>
  <r>
    <n v="697"/>
    <n v="45"/>
    <x v="0"/>
    <x v="6"/>
    <s v="Appendectomy"/>
    <n v="8000"/>
    <n v="52"/>
    <x v="0"/>
    <x v="0"/>
    <n v="3"/>
    <x v="0"/>
    <s v="Medium"/>
    <s v="No"/>
  </r>
  <r>
    <n v="698"/>
    <n v="40"/>
    <x v="1"/>
    <x v="7"/>
    <s v="Cast and Physical Therapy"/>
    <n v="3000"/>
    <n v="52"/>
    <x v="0"/>
    <x v="0"/>
    <n v="4"/>
    <x v="2"/>
    <s v="Medium"/>
    <s v="Yes"/>
  </r>
  <r>
    <n v="699"/>
    <n v="78"/>
    <x v="0"/>
    <x v="8"/>
    <s v="Cardiac Catheterization"/>
    <n v="18000"/>
    <n v="54"/>
    <x v="1"/>
    <x v="1"/>
    <n v="2"/>
    <x v="3"/>
    <s v="High"/>
    <s v="No"/>
  </r>
  <r>
    <n v="700"/>
    <n v="25"/>
    <x v="1"/>
    <x v="9"/>
    <s v="Epinephrine Injection"/>
    <n v="100"/>
    <n v="47"/>
    <x v="0"/>
    <x v="0"/>
    <n v="5"/>
    <x v="4"/>
    <s v="Low"/>
    <s v="Yes"/>
  </r>
  <r>
    <n v="701"/>
    <n v="52"/>
    <x v="0"/>
    <x v="10"/>
    <s v="Antibiotics and Rest"/>
    <n v="800"/>
    <n v="48"/>
    <x v="0"/>
    <x v="1"/>
    <n v="4"/>
    <x v="0"/>
    <s v="Low"/>
    <s v="Yes"/>
  </r>
  <r>
    <n v="702"/>
    <n v="58"/>
    <x v="1"/>
    <x v="11"/>
    <s v="Radiation Therapy"/>
    <n v="20000"/>
    <n v="55"/>
    <x v="0"/>
    <x v="0"/>
    <n v="3"/>
    <x v="0"/>
    <s v="High"/>
    <s v="No"/>
  </r>
  <r>
    <n v="703"/>
    <n v="32"/>
    <x v="0"/>
    <x v="12"/>
    <s v="Delivery and Postnatal Care"/>
    <n v="12000"/>
    <n v="49"/>
    <x v="0"/>
    <x v="0"/>
    <n v="4"/>
    <x v="2"/>
    <s v="High"/>
    <s v="Yes"/>
  </r>
  <r>
    <n v="704"/>
    <n v="55"/>
    <x v="1"/>
    <x v="13"/>
    <s v="Lithotripsy"/>
    <n v="6000"/>
    <n v="50"/>
    <x v="0"/>
    <x v="0"/>
    <n v="3"/>
    <x v="0"/>
    <s v="Medium"/>
    <s v="No"/>
  </r>
  <r>
    <n v="705"/>
    <n v="65"/>
    <x v="0"/>
    <x v="14"/>
    <s v="Physical Therapy and Pain Management"/>
    <n v="4000"/>
    <n v="51"/>
    <x v="0"/>
    <x v="1"/>
    <n v="4"/>
    <x v="1"/>
    <s v="Medium"/>
    <s v="Yes"/>
  </r>
  <r>
    <n v="706"/>
    <n v="55"/>
    <x v="0"/>
    <x v="0"/>
    <s v="Angioplasty"/>
    <n v="15000"/>
    <n v="52"/>
    <x v="1"/>
    <x v="0"/>
    <n v="3"/>
    <x v="0"/>
    <s v="High"/>
    <s v="No"/>
  </r>
  <r>
    <n v="707"/>
    <n v="62"/>
    <x v="1"/>
    <x v="1"/>
    <s v="Insulin Therapy"/>
    <n v="2000"/>
    <n v="50"/>
    <x v="0"/>
    <x v="1"/>
    <n v="4"/>
    <x v="1"/>
    <s v="Medium"/>
    <s v="Yes"/>
  </r>
  <r>
    <n v="708"/>
    <n v="35"/>
    <x v="0"/>
    <x v="2"/>
    <s v="X-Ray and Splint"/>
    <n v="500"/>
    <n v="48"/>
    <x v="1"/>
    <x v="0"/>
    <n v="5"/>
    <x v="2"/>
    <s v="Low"/>
    <s v="Yes"/>
  </r>
  <r>
    <n v="709"/>
    <n v="78"/>
    <x v="1"/>
    <x v="3"/>
    <s v="CT Scan and Medication"/>
    <n v="10000"/>
    <n v="55"/>
    <x v="0"/>
    <x v="1"/>
    <n v="2"/>
    <x v="3"/>
    <s v="High"/>
    <s v="No"/>
  </r>
  <r>
    <n v="710"/>
    <n v="53"/>
    <x v="0"/>
    <x v="4"/>
    <s v="Surgery and Chemotherapy"/>
    <n v="25000"/>
    <n v="57"/>
    <x v="1"/>
    <x v="0"/>
    <n v="4"/>
    <x v="0"/>
    <s v="High"/>
    <s v="Yes"/>
  </r>
  <r>
    <n v="711"/>
    <n v="72"/>
    <x v="1"/>
    <x v="5"/>
    <s v="Medication and Counseling"/>
    <n v="1000"/>
    <n v="51"/>
    <x v="0"/>
    <x v="1"/>
    <n v="4"/>
    <x v="1"/>
    <s v="Low"/>
    <s v="Yes"/>
  </r>
  <r>
    <n v="712"/>
    <n v="60"/>
    <x v="0"/>
    <x v="6"/>
    <s v="Appendectomy"/>
    <n v="8000"/>
    <n v="53"/>
    <x v="1"/>
    <x v="0"/>
    <n v="3"/>
    <x v="1"/>
    <s v="Medium"/>
    <s v="No"/>
  </r>
  <r>
    <n v="713"/>
    <n v="45"/>
    <x v="1"/>
    <x v="7"/>
    <s v="Cast and Physical Therapy"/>
    <n v="3000"/>
    <n v="53"/>
    <x v="0"/>
    <x v="0"/>
    <n v="4"/>
    <x v="0"/>
    <s v="Medium"/>
    <s v="Yes"/>
  </r>
  <r>
    <n v="714"/>
    <n v="75"/>
    <x v="0"/>
    <x v="8"/>
    <s v="Cardiac Catheterization"/>
    <n v="18000"/>
    <n v="55"/>
    <x v="1"/>
    <x v="1"/>
    <n v="2"/>
    <x v="3"/>
    <s v="High"/>
    <s v="No"/>
  </r>
  <r>
    <n v="715"/>
    <n v="28"/>
    <x v="1"/>
    <x v="9"/>
    <s v="Epinephrine Injection"/>
    <n v="100"/>
    <n v="48"/>
    <x v="0"/>
    <x v="0"/>
    <n v="5"/>
    <x v="4"/>
    <s v="Low"/>
    <s v="Yes"/>
  </r>
  <r>
    <n v="716"/>
    <n v="52"/>
    <x v="0"/>
    <x v="10"/>
    <s v="Antibiotics and Rest"/>
    <n v="800"/>
    <n v="49"/>
    <x v="0"/>
    <x v="1"/>
    <n v="4"/>
    <x v="0"/>
    <s v="Low"/>
    <s v="Yes"/>
  </r>
  <r>
    <n v="717"/>
    <n v="67"/>
    <x v="1"/>
    <x v="11"/>
    <s v="Radiation Therapy"/>
    <n v="20000"/>
    <n v="56"/>
    <x v="0"/>
    <x v="0"/>
    <n v="3"/>
    <x v="1"/>
    <s v="High"/>
    <s v="No"/>
  </r>
  <r>
    <n v="718"/>
    <n v="35"/>
    <x v="0"/>
    <x v="12"/>
    <s v="Delivery and Postnatal Care"/>
    <n v="12000"/>
    <n v="50"/>
    <x v="0"/>
    <x v="0"/>
    <n v="4"/>
    <x v="2"/>
    <s v="High"/>
    <s v="Yes"/>
  </r>
  <r>
    <n v="719"/>
    <n v="50"/>
    <x v="1"/>
    <x v="13"/>
    <s v="Lithotripsy"/>
    <n v="6000"/>
    <n v="51"/>
    <x v="0"/>
    <x v="0"/>
    <n v="3"/>
    <x v="0"/>
    <s v="Medium"/>
    <s v="No"/>
  </r>
  <r>
    <n v="720"/>
    <n v="60"/>
    <x v="0"/>
    <x v="14"/>
    <s v="Physical Therapy and Pain Management"/>
    <n v="4000"/>
    <n v="52"/>
    <x v="0"/>
    <x v="1"/>
    <n v="4"/>
    <x v="1"/>
    <s v="Medium"/>
    <s v="Yes"/>
  </r>
  <r>
    <n v="721"/>
    <n v="48"/>
    <x v="0"/>
    <x v="0"/>
    <s v="Angioplasty"/>
    <n v="15000"/>
    <n v="53"/>
    <x v="1"/>
    <x v="0"/>
    <n v="4"/>
    <x v="0"/>
    <s v="High"/>
    <s v="Yes"/>
  </r>
  <r>
    <n v="723"/>
    <n v="30"/>
    <x v="0"/>
    <x v="2"/>
    <s v="X-Ray and Splint"/>
    <n v="500"/>
    <n v="49"/>
    <x v="0"/>
    <x v="0"/>
    <n v="5"/>
    <x v="2"/>
    <s v="Low"/>
    <s v="Yes"/>
  </r>
  <r>
    <n v="724"/>
    <n v="70"/>
    <x v="1"/>
    <x v="3"/>
    <s v="CT Scan and Medication"/>
    <n v="10000"/>
    <n v="56"/>
    <x v="1"/>
    <x v="1"/>
    <n v="2"/>
    <x v="1"/>
    <s v="High"/>
    <s v="No"/>
  </r>
  <r>
    <n v="725"/>
    <n v="55"/>
    <x v="0"/>
    <x v="4"/>
    <s v="Surgery and Chemotherapy"/>
    <n v="25000"/>
    <n v="58"/>
    <x v="0"/>
    <x v="0"/>
    <n v="4"/>
    <x v="0"/>
    <s v="High"/>
    <s v="Yes"/>
  </r>
  <r>
    <n v="726"/>
    <n v="68"/>
    <x v="1"/>
    <x v="5"/>
    <s v="Medication and Counseling"/>
    <n v="1000"/>
    <n v="52"/>
    <x v="0"/>
    <x v="1"/>
    <n v="4"/>
    <x v="1"/>
    <s v="Low"/>
    <s v="Yes"/>
  </r>
  <r>
    <n v="727"/>
    <n v="45"/>
    <x v="0"/>
    <x v="6"/>
    <s v="Appendectomy"/>
    <n v="8000"/>
    <n v="54"/>
    <x v="0"/>
    <x v="0"/>
    <n v="3"/>
    <x v="0"/>
    <s v="Medium"/>
    <s v="No"/>
  </r>
  <r>
    <n v="728"/>
    <n v="40"/>
    <x v="1"/>
    <x v="7"/>
    <s v="Cast and Physical Therapy"/>
    <n v="3000"/>
    <n v="54"/>
    <x v="0"/>
    <x v="0"/>
    <n v="4"/>
    <x v="2"/>
    <s v="Medium"/>
    <s v="Yes"/>
  </r>
  <r>
    <n v="729"/>
    <n v="78"/>
    <x v="0"/>
    <x v="8"/>
    <s v="Cardiac Catheterization"/>
    <n v="18000"/>
    <n v="56"/>
    <x v="1"/>
    <x v="1"/>
    <n v="2"/>
    <x v="3"/>
    <s v="High"/>
    <s v="No"/>
  </r>
  <r>
    <n v="730"/>
    <n v="25"/>
    <x v="1"/>
    <x v="9"/>
    <s v="Epinephrine Injection"/>
    <n v="100"/>
    <n v="49"/>
    <x v="0"/>
    <x v="0"/>
    <n v="5"/>
    <x v="4"/>
    <s v="Low"/>
    <s v="Yes"/>
  </r>
  <r>
    <n v="731"/>
    <n v="52"/>
    <x v="0"/>
    <x v="10"/>
    <s v="Antibiotics and Rest"/>
    <n v="800"/>
    <n v="50"/>
    <x v="0"/>
    <x v="1"/>
    <n v="4"/>
    <x v="0"/>
    <s v="Low"/>
    <s v="Yes"/>
  </r>
  <r>
    <n v="732"/>
    <n v="58"/>
    <x v="1"/>
    <x v="11"/>
    <s v="Radiation Therapy"/>
    <n v="20000"/>
    <n v="57"/>
    <x v="0"/>
    <x v="0"/>
    <n v="3"/>
    <x v="0"/>
    <s v="High"/>
    <s v="No"/>
  </r>
  <r>
    <n v="733"/>
    <n v="32"/>
    <x v="0"/>
    <x v="12"/>
    <s v="Delivery and Postnatal Care"/>
    <n v="12000"/>
    <n v="51"/>
    <x v="0"/>
    <x v="0"/>
    <n v="4"/>
    <x v="2"/>
    <s v="High"/>
    <s v="Yes"/>
  </r>
  <r>
    <n v="734"/>
    <n v="55"/>
    <x v="1"/>
    <x v="13"/>
    <s v="Lithotripsy"/>
    <n v="6000"/>
    <n v="52"/>
    <x v="0"/>
    <x v="0"/>
    <n v="3"/>
    <x v="0"/>
    <s v="Medium"/>
    <s v="No"/>
  </r>
  <r>
    <n v="735"/>
    <n v="65"/>
    <x v="0"/>
    <x v="14"/>
    <s v="Physical Therapy and Pain Management"/>
    <n v="4000"/>
    <n v="53"/>
    <x v="0"/>
    <x v="1"/>
    <n v="4"/>
    <x v="1"/>
    <s v="Medium"/>
    <s v="Yes"/>
  </r>
  <r>
    <n v="736"/>
    <n v="55"/>
    <x v="0"/>
    <x v="0"/>
    <s v="Angioplasty"/>
    <n v="15000"/>
    <n v="54"/>
    <x v="1"/>
    <x v="0"/>
    <n v="3"/>
    <x v="0"/>
    <s v="High"/>
    <s v="No"/>
  </r>
  <r>
    <n v="737"/>
    <n v="62"/>
    <x v="1"/>
    <x v="1"/>
    <s v="Insulin Therapy"/>
    <n v="2000"/>
    <n v="52"/>
    <x v="0"/>
    <x v="1"/>
    <n v="4"/>
    <x v="1"/>
    <s v="Medium"/>
    <s v="Yes"/>
  </r>
  <r>
    <n v="738"/>
    <n v="35"/>
    <x v="0"/>
    <x v="2"/>
    <s v="X-Ray and Splint"/>
    <n v="500"/>
    <n v="50"/>
    <x v="1"/>
    <x v="0"/>
    <n v="5"/>
    <x v="2"/>
    <s v="Low"/>
    <s v="Yes"/>
  </r>
  <r>
    <n v="739"/>
    <n v="78"/>
    <x v="1"/>
    <x v="3"/>
    <s v="CT Scan and Medication"/>
    <n v="10000"/>
    <n v="57"/>
    <x v="0"/>
    <x v="1"/>
    <n v="2"/>
    <x v="3"/>
    <s v="High"/>
    <s v="No"/>
  </r>
  <r>
    <n v="740"/>
    <n v="53"/>
    <x v="0"/>
    <x v="4"/>
    <s v="Surgery and Chemotherapy"/>
    <n v="25000"/>
    <n v="59"/>
    <x v="1"/>
    <x v="0"/>
    <n v="4"/>
    <x v="0"/>
    <s v="High"/>
    <s v="Yes"/>
  </r>
  <r>
    <n v="741"/>
    <n v="72"/>
    <x v="1"/>
    <x v="5"/>
    <s v="Medication and Counseling"/>
    <n v="1000"/>
    <n v="53"/>
    <x v="0"/>
    <x v="1"/>
    <n v="4"/>
    <x v="1"/>
    <s v="Low"/>
    <s v="Yes"/>
  </r>
  <r>
    <n v="742"/>
    <n v="60"/>
    <x v="0"/>
    <x v="6"/>
    <s v="Appendectomy"/>
    <n v="8000"/>
    <n v="55"/>
    <x v="1"/>
    <x v="0"/>
    <n v="3"/>
    <x v="1"/>
    <s v="Medium"/>
    <s v="No"/>
  </r>
  <r>
    <n v="743"/>
    <n v="45"/>
    <x v="1"/>
    <x v="7"/>
    <s v="Cast and Physical Therapy"/>
    <n v="3000"/>
    <n v="55"/>
    <x v="0"/>
    <x v="0"/>
    <n v="4"/>
    <x v="0"/>
    <s v="Medium"/>
    <s v="Yes"/>
  </r>
  <r>
    <n v="744"/>
    <n v="75"/>
    <x v="0"/>
    <x v="8"/>
    <s v="Cardiac Catheterization"/>
    <n v="18000"/>
    <n v="57"/>
    <x v="1"/>
    <x v="1"/>
    <n v="2"/>
    <x v="3"/>
    <s v="High"/>
    <s v="No"/>
  </r>
  <r>
    <n v="745"/>
    <n v="28"/>
    <x v="1"/>
    <x v="9"/>
    <s v="Epinephrine Injection"/>
    <n v="100"/>
    <n v="50"/>
    <x v="0"/>
    <x v="0"/>
    <n v="5"/>
    <x v="4"/>
    <s v="Low"/>
    <s v="Yes"/>
  </r>
  <r>
    <n v="746"/>
    <n v="52"/>
    <x v="0"/>
    <x v="10"/>
    <s v="Antibiotics and Rest"/>
    <n v="800"/>
    <n v="51"/>
    <x v="0"/>
    <x v="1"/>
    <n v="4"/>
    <x v="0"/>
    <s v="Low"/>
    <s v="Yes"/>
  </r>
  <r>
    <n v="747"/>
    <n v="67"/>
    <x v="1"/>
    <x v="11"/>
    <s v="Radiation Therapy"/>
    <n v="20000"/>
    <n v="58"/>
    <x v="0"/>
    <x v="0"/>
    <n v="3"/>
    <x v="1"/>
    <s v="High"/>
    <s v="No"/>
  </r>
  <r>
    <n v="748"/>
    <n v="35"/>
    <x v="0"/>
    <x v="12"/>
    <s v="Delivery and Postnatal Care"/>
    <n v="12000"/>
    <n v="52"/>
    <x v="0"/>
    <x v="0"/>
    <n v="4"/>
    <x v="2"/>
    <s v="High"/>
    <s v="Yes"/>
  </r>
  <r>
    <n v="749"/>
    <n v="50"/>
    <x v="1"/>
    <x v="13"/>
    <s v="Lithotripsy"/>
    <n v="6000"/>
    <n v="53"/>
    <x v="0"/>
    <x v="0"/>
    <n v="3"/>
    <x v="0"/>
    <s v="Medium"/>
    <s v="No"/>
  </r>
  <r>
    <n v="750"/>
    <n v="60"/>
    <x v="0"/>
    <x v="14"/>
    <s v="Physical Therapy and Pain Management"/>
    <n v="4000"/>
    <n v="54"/>
    <x v="0"/>
    <x v="1"/>
    <n v="4"/>
    <x v="1"/>
    <s v="Medium"/>
    <s v="Yes"/>
  </r>
  <r>
    <n v="751"/>
    <n v="48"/>
    <x v="0"/>
    <x v="0"/>
    <s v="Angioplasty"/>
    <n v="15000"/>
    <n v="55"/>
    <x v="1"/>
    <x v="0"/>
    <n v="4"/>
    <x v="0"/>
    <s v="High"/>
    <s v="Yes"/>
  </r>
  <r>
    <n v="752"/>
    <n v="65"/>
    <x v="1"/>
    <x v="1"/>
    <s v="Insulin Therapy"/>
    <n v="2000"/>
    <n v="53"/>
    <x v="0"/>
    <x v="1"/>
    <n v="3"/>
    <x v="1"/>
    <s v="Medium"/>
    <s v="No"/>
  </r>
  <r>
    <n v="753"/>
    <n v="30"/>
    <x v="0"/>
    <x v="2"/>
    <s v="X-Ray and Splint"/>
    <n v="500"/>
    <n v="51"/>
    <x v="0"/>
    <x v="0"/>
    <n v="5"/>
    <x v="2"/>
    <s v="Low"/>
    <s v="Yes"/>
  </r>
  <r>
    <n v="754"/>
    <n v="70"/>
    <x v="1"/>
    <x v="3"/>
    <s v="CT Scan and Medication"/>
    <n v="10000"/>
    <n v="58"/>
    <x v="1"/>
    <x v="1"/>
    <n v="2"/>
    <x v="1"/>
    <s v="High"/>
    <s v="No"/>
  </r>
  <r>
    <n v="755"/>
    <n v="55"/>
    <x v="0"/>
    <x v="4"/>
    <s v="Surgery and Chemotherapy"/>
    <n v="25000"/>
    <n v="60"/>
    <x v="0"/>
    <x v="0"/>
    <n v="4"/>
    <x v="0"/>
    <s v="High"/>
    <s v="Yes"/>
  </r>
  <r>
    <n v="756"/>
    <n v="68"/>
    <x v="1"/>
    <x v="5"/>
    <s v="Medication and Counseling"/>
    <n v="1000"/>
    <n v="54"/>
    <x v="0"/>
    <x v="1"/>
    <n v="4"/>
    <x v="1"/>
    <s v="Low"/>
    <s v="Yes"/>
  </r>
  <r>
    <n v="757"/>
    <n v="45"/>
    <x v="0"/>
    <x v="6"/>
    <s v="Appendectomy"/>
    <n v="8000"/>
    <n v="56"/>
    <x v="0"/>
    <x v="0"/>
    <n v="3"/>
    <x v="0"/>
    <s v="Medium"/>
    <s v="No"/>
  </r>
  <r>
    <n v="758"/>
    <n v="40"/>
    <x v="1"/>
    <x v="7"/>
    <s v="Cast and Physical Therapy"/>
    <n v="3000"/>
    <n v="56"/>
    <x v="0"/>
    <x v="0"/>
    <n v="4"/>
    <x v="2"/>
    <s v="Medium"/>
    <s v="Yes"/>
  </r>
  <r>
    <n v="759"/>
    <n v="78"/>
    <x v="0"/>
    <x v="8"/>
    <s v="Cardiac Catheterization"/>
    <n v="18000"/>
    <n v="58"/>
    <x v="1"/>
    <x v="1"/>
    <n v="2"/>
    <x v="3"/>
    <s v="High"/>
    <s v="No"/>
  </r>
  <r>
    <n v="760"/>
    <n v="25"/>
    <x v="1"/>
    <x v="9"/>
    <s v="Epinephrine Injection"/>
    <n v="100"/>
    <n v="51"/>
    <x v="0"/>
    <x v="0"/>
    <n v="5"/>
    <x v="4"/>
    <s v="Low"/>
    <s v="Yes"/>
  </r>
  <r>
    <n v="761"/>
    <n v="52"/>
    <x v="0"/>
    <x v="10"/>
    <s v="Antibiotics and Rest"/>
    <n v="800"/>
    <n v="52"/>
    <x v="0"/>
    <x v="1"/>
    <n v="4"/>
    <x v="0"/>
    <s v="Low"/>
    <s v="Yes"/>
  </r>
  <r>
    <n v="762"/>
    <n v="58"/>
    <x v="1"/>
    <x v="11"/>
    <s v="Radiation Therapy"/>
    <n v="20000"/>
    <n v="59"/>
    <x v="0"/>
    <x v="0"/>
    <n v="3"/>
    <x v="0"/>
    <s v="High"/>
    <s v="No"/>
  </r>
  <r>
    <n v="763"/>
    <n v="32"/>
    <x v="0"/>
    <x v="12"/>
    <s v="Delivery and Postnatal Care"/>
    <n v="12000"/>
    <n v="53"/>
    <x v="0"/>
    <x v="0"/>
    <n v="4"/>
    <x v="2"/>
    <s v="High"/>
    <s v="Yes"/>
  </r>
  <r>
    <n v="764"/>
    <n v="55"/>
    <x v="1"/>
    <x v="13"/>
    <s v="Lithotripsy"/>
    <n v="6000"/>
    <n v="54"/>
    <x v="0"/>
    <x v="0"/>
    <n v="3"/>
    <x v="0"/>
    <s v="Medium"/>
    <s v="No"/>
  </r>
  <r>
    <n v="765"/>
    <n v="65"/>
    <x v="0"/>
    <x v="14"/>
    <s v="Physical Therapy and Pain Management"/>
    <n v="4000"/>
    <n v="55"/>
    <x v="0"/>
    <x v="1"/>
    <n v="4"/>
    <x v="1"/>
    <s v="Medium"/>
    <s v="Yes"/>
  </r>
  <r>
    <n v="766"/>
    <n v="55"/>
    <x v="0"/>
    <x v="0"/>
    <s v="Angioplasty"/>
    <n v="15000"/>
    <n v="56"/>
    <x v="1"/>
    <x v="0"/>
    <n v="3"/>
    <x v="0"/>
    <s v="High"/>
    <s v="No"/>
  </r>
  <r>
    <n v="767"/>
    <n v="62"/>
    <x v="1"/>
    <x v="1"/>
    <s v="Insulin Therapy"/>
    <n v="2000"/>
    <n v="54"/>
    <x v="0"/>
    <x v="1"/>
    <n v="4"/>
    <x v="1"/>
    <s v="Medium"/>
    <s v="Yes"/>
  </r>
  <r>
    <n v="768"/>
    <n v="35"/>
    <x v="0"/>
    <x v="2"/>
    <s v="X-Ray and Splint"/>
    <n v="500"/>
    <n v="52"/>
    <x v="1"/>
    <x v="0"/>
    <n v="5"/>
    <x v="2"/>
    <s v="Low"/>
    <s v="Yes"/>
  </r>
  <r>
    <n v="769"/>
    <n v="78"/>
    <x v="1"/>
    <x v="3"/>
    <s v="CT Scan and Medication"/>
    <n v="10000"/>
    <n v="59"/>
    <x v="0"/>
    <x v="1"/>
    <n v="2"/>
    <x v="3"/>
    <s v="High"/>
    <s v="No"/>
  </r>
  <r>
    <n v="770"/>
    <n v="53"/>
    <x v="0"/>
    <x v="4"/>
    <s v="Surgery and Chemotherapy"/>
    <n v="25000"/>
    <n v="61"/>
    <x v="1"/>
    <x v="0"/>
    <n v="4"/>
    <x v="0"/>
    <s v="High"/>
    <s v="Yes"/>
  </r>
  <r>
    <n v="771"/>
    <n v="72"/>
    <x v="1"/>
    <x v="5"/>
    <s v="Medication and Counseling"/>
    <n v="1000"/>
    <n v="55"/>
    <x v="0"/>
    <x v="1"/>
    <n v="4"/>
    <x v="1"/>
    <s v="Low"/>
    <s v="Yes"/>
  </r>
  <r>
    <n v="772"/>
    <n v="60"/>
    <x v="0"/>
    <x v="6"/>
    <s v="Appendectomy"/>
    <n v="8000"/>
    <n v="57"/>
    <x v="1"/>
    <x v="0"/>
    <n v="3"/>
    <x v="1"/>
    <s v="Medium"/>
    <s v="No"/>
  </r>
  <r>
    <n v="773"/>
    <n v="45"/>
    <x v="1"/>
    <x v="7"/>
    <s v="Cast and Physical Therapy"/>
    <n v="3000"/>
    <n v="57"/>
    <x v="0"/>
    <x v="0"/>
    <n v="4"/>
    <x v="0"/>
    <s v="Medium"/>
    <s v="Yes"/>
  </r>
  <r>
    <n v="774"/>
    <n v="75"/>
    <x v="0"/>
    <x v="8"/>
    <s v="Cardiac Catheterization"/>
    <n v="18000"/>
    <n v="59"/>
    <x v="1"/>
    <x v="1"/>
    <n v="2"/>
    <x v="3"/>
    <s v="High"/>
    <s v="No"/>
  </r>
  <r>
    <n v="775"/>
    <n v="28"/>
    <x v="1"/>
    <x v="9"/>
    <s v="Epinephrine Injection"/>
    <n v="100"/>
    <n v="52"/>
    <x v="0"/>
    <x v="0"/>
    <n v="5"/>
    <x v="4"/>
    <s v="Low"/>
    <s v="Yes"/>
  </r>
  <r>
    <n v="776"/>
    <n v="52"/>
    <x v="0"/>
    <x v="10"/>
    <s v="Antibiotics and Rest"/>
    <n v="800"/>
    <n v="53"/>
    <x v="0"/>
    <x v="1"/>
    <n v="4"/>
    <x v="0"/>
    <s v="Low"/>
    <s v="Yes"/>
  </r>
  <r>
    <n v="777"/>
    <n v="67"/>
    <x v="1"/>
    <x v="11"/>
    <s v="Radiation Therapy"/>
    <n v="20000"/>
    <n v="60"/>
    <x v="0"/>
    <x v="0"/>
    <n v="3"/>
    <x v="1"/>
    <s v="High"/>
    <s v="No"/>
  </r>
  <r>
    <n v="778"/>
    <n v="35"/>
    <x v="0"/>
    <x v="12"/>
    <s v="Delivery and Postnatal Care"/>
    <n v="12000"/>
    <n v="54"/>
    <x v="0"/>
    <x v="0"/>
    <n v="4"/>
    <x v="2"/>
    <s v="High"/>
    <s v="Yes"/>
  </r>
  <r>
    <n v="779"/>
    <n v="50"/>
    <x v="1"/>
    <x v="13"/>
    <s v="Lithotripsy"/>
    <n v="6000"/>
    <n v="55"/>
    <x v="0"/>
    <x v="0"/>
    <n v="3"/>
    <x v="0"/>
    <s v="Medium"/>
    <s v="No"/>
  </r>
  <r>
    <n v="780"/>
    <n v="60"/>
    <x v="0"/>
    <x v="14"/>
    <s v="Physical Therapy and Pain Management"/>
    <n v="4000"/>
    <n v="56"/>
    <x v="0"/>
    <x v="1"/>
    <n v="4"/>
    <x v="1"/>
    <s v="Medium"/>
    <s v="Yes"/>
  </r>
  <r>
    <n v="781"/>
    <n v="48"/>
    <x v="0"/>
    <x v="0"/>
    <s v="Angioplasty"/>
    <n v="15000"/>
    <n v="57"/>
    <x v="1"/>
    <x v="0"/>
    <n v="4"/>
    <x v="0"/>
    <s v="High"/>
    <s v="Yes"/>
  </r>
  <r>
    <n v="782"/>
    <n v="65"/>
    <x v="1"/>
    <x v="1"/>
    <s v="Insulin Therapy"/>
    <n v="2000"/>
    <n v="55"/>
    <x v="0"/>
    <x v="1"/>
    <n v="3"/>
    <x v="1"/>
    <s v="Medium"/>
    <s v="No"/>
  </r>
  <r>
    <n v="783"/>
    <n v="30"/>
    <x v="0"/>
    <x v="2"/>
    <s v="X-Ray and Splint"/>
    <n v="500"/>
    <n v="53"/>
    <x v="0"/>
    <x v="0"/>
    <n v="5"/>
    <x v="2"/>
    <s v="Low"/>
    <s v="Yes"/>
  </r>
  <r>
    <n v="785"/>
    <n v="55"/>
    <x v="0"/>
    <x v="4"/>
    <s v="Surgery and Chemotherapy"/>
    <n v="25000"/>
    <n v="62"/>
    <x v="0"/>
    <x v="0"/>
    <n v="4"/>
    <x v="0"/>
    <s v="High"/>
    <s v="Yes"/>
  </r>
  <r>
    <n v="786"/>
    <n v="68"/>
    <x v="1"/>
    <x v="5"/>
    <s v="Medication and Counseling"/>
    <n v="1000"/>
    <n v="56"/>
    <x v="0"/>
    <x v="1"/>
    <n v="4"/>
    <x v="1"/>
    <s v="Low"/>
    <s v="Yes"/>
  </r>
  <r>
    <n v="787"/>
    <n v="45"/>
    <x v="0"/>
    <x v="6"/>
    <s v="Appendectomy"/>
    <n v="8000"/>
    <n v="58"/>
    <x v="0"/>
    <x v="0"/>
    <n v="3"/>
    <x v="0"/>
    <s v="Medium"/>
    <s v="No"/>
  </r>
  <r>
    <n v="788"/>
    <n v="40"/>
    <x v="1"/>
    <x v="7"/>
    <s v="Cast and Physical Therapy"/>
    <n v="3000"/>
    <n v="58"/>
    <x v="0"/>
    <x v="0"/>
    <n v="4"/>
    <x v="2"/>
    <s v="Medium"/>
    <s v="Yes"/>
  </r>
  <r>
    <n v="789"/>
    <n v="78"/>
    <x v="0"/>
    <x v="8"/>
    <s v="Cardiac Catheterization"/>
    <n v="18000"/>
    <n v="60"/>
    <x v="1"/>
    <x v="1"/>
    <n v="2"/>
    <x v="3"/>
    <s v="High"/>
    <s v="No"/>
  </r>
  <r>
    <n v="790"/>
    <n v="25"/>
    <x v="1"/>
    <x v="9"/>
    <s v="Epinephrine Injection"/>
    <n v="100"/>
    <n v="53"/>
    <x v="0"/>
    <x v="0"/>
    <n v="5"/>
    <x v="4"/>
    <s v="Low"/>
    <s v="Yes"/>
  </r>
  <r>
    <n v="791"/>
    <n v="52"/>
    <x v="0"/>
    <x v="10"/>
    <s v="Antibiotics and Rest"/>
    <n v="800"/>
    <n v="54"/>
    <x v="0"/>
    <x v="1"/>
    <n v="4"/>
    <x v="0"/>
    <s v="Low"/>
    <s v="Yes"/>
  </r>
  <r>
    <n v="792"/>
    <n v="58"/>
    <x v="1"/>
    <x v="11"/>
    <s v="Radiation Therapy"/>
    <n v="20000"/>
    <n v="61"/>
    <x v="0"/>
    <x v="0"/>
    <n v="3"/>
    <x v="0"/>
    <s v="High"/>
    <s v="No"/>
  </r>
  <r>
    <n v="793"/>
    <n v="32"/>
    <x v="0"/>
    <x v="12"/>
    <s v="Delivery and Postnatal Care"/>
    <n v="12000"/>
    <n v="55"/>
    <x v="0"/>
    <x v="0"/>
    <n v="4"/>
    <x v="2"/>
    <s v="High"/>
    <s v="Yes"/>
  </r>
  <r>
    <n v="794"/>
    <n v="55"/>
    <x v="1"/>
    <x v="13"/>
    <s v="Lithotripsy"/>
    <n v="6000"/>
    <n v="56"/>
    <x v="0"/>
    <x v="0"/>
    <n v="3"/>
    <x v="0"/>
    <s v="Medium"/>
    <s v="No"/>
  </r>
  <r>
    <n v="795"/>
    <n v="65"/>
    <x v="0"/>
    <x v="14"/>
    <s v="Physical Therapy and Pain Management"/>
    <n v="4000"/>
    <n v="57"/>
    <x v="0"/>
    <x v="1"/>
    <n v="4"/>
    <x v="1"/>
    <s v="Medium"/>
    <s v="Yes"/>
  </r>
  <r>
    <n v="796"/>
    <n v="55"/>
    <x v="0"/>
    <x v="0"/>
    <s v="Angioplasty"/>
    <n v="15000"/>
    <n v="58"/>
    <x v="1"/>
    <x v="0"/>
    <n v="3"/>
    <x v="0"/>
    <s v="High"/>
    <s v="No"/>
  </r>
  <r>
    <n v="797"/>
    <n v="62"/>
    <x v="1"/>
    <x v="1"/>
    <s v="Insulin Therapy"/>
    <n v="2000"/>
    <n v="56"/>
    <x v="0"/>
    <x v="1"/>
    <n v="4"/>
    <x v="1"/>
    <s v="Medium"/>
    <s v="Yes"/>
  </r>
  <r>
    <n v="798"/>
    <n v="35"/>
    <x v="0"/>
    <x v="2"/>
    <s v="X-Ray and Splint"/>
    <n v="500"/>
    <n v="54"/>
    <x v="1"/>
    <x v="0"/>
    <n v="5"/>
    <x v="2"/>
    <s v="Low"/>
    <s v="Yes"/>
  </r>
  <r>
    <n v="799"/>
    <n v="78"/>
    <x v="1"/>
    <x v="3"/>
    <s v="CT Scan and Medication"/>
    <n v="10000"/>
    <n v="61"/>
    <x v="0"/>
    <x v="1"/>
    <n v="2"/>
    <x v="3"/>
    <s v="High"/>
    <s v="No"/>
  </r>
  <r>
    <n v="800"/>
    <n v="53"/>
    <x v="0"/>
    <x v="4"/>
    <s v="Surgery and Chemotherapy"/>
    <n v="25000"/>
    <n v="63"/>
    <x v="1"/>
    <x v="0"/>
    <n v="4"/>
    <x v="0"/>
    <s v="High"/>
    <s v="Yes"/>
  </r>
  <r>
    <n v="801"/>
    <n v="72"/>
    <x v="1"/>
    <x v="5"/>
    <s v="Medication and Counseling"/>
    <n v="1000"/>
    <n v="57"/>
    <x v="0"/>
    <x v="1"/>
    <n v="4"/>
    <x v="1"/>
    <s v="Low"/>
    <s v="Yes"/>
  </r>
  <r>
    <n v="802"/>
    <n v="60"/>
    <x v="0"/>
    <x v="6"/>
    <s v="Appendectomy"/>
    <n v="8000"/>
    <n v="59"/>
    <x v="1"/>
    <x v="0"/>
    <n v="3"/>
    <x v="1"/>
    <s v="Medium"/>
    <s v="No"/>
  </r>
  <r>
    <n v="803"/>
    <n v="45"/>
    <x v="1"/>
    <x v="7"/>
    <s v="Cast and Physical Therapy"/>
    <n v="3000"/>
    <n v="59"/>
    <x v="0"/>
    <x v="0"/>
    <n v="4"/>
    <x v="0"/>
    <s v="Medium"/>
    <s v="Yes"/>
  </r>
  <r>
    <n v="804"/>
    <n v="75"/>
    <x v="0"/>
    <x v="8"/>
    <s v="Cardiac Catheterization"/>
    <n v="18000"/>
    <n v="61"/>
    <x v="1"/>
    <x v="1"/>
    <n v="2"/>
    <x v="3"/>
    <s v="High"/>
    <s v="No"/>
  </r>
  <r>
    <n v="805"/>
    <n v="28"/>
    <x v="1"/>
    <x v="9"/>
    <s v="Epinephrine Injection"/>
    <n v="100"/>
    <n v="54"/>
    <x v="0"/>
    <x v="0"/>
    <n v="5"/>
    <x v="4"/>
    <s v="Low"/>
    <s v="Yes"/>
  </r>
  <r>
    <n v="806"/>
    <n v="52"/>
    <x v="0"/>
    <x v="10"/>
    <s v="Antibiotics and Rest"/>
    <n v="800"/>
    <n v="55"/>
    <x v="0"/>
    <x v="1"/>
    <n v="4"/>
    <x v="0"/>
    <s v="Low"/>
    <s v="Yes"/>
  </r>
  <r>
    <n v="807"/>
    <n v="67"/>
    <x v="1"/>
    <x v="11"/>
    <s v="Radiation Therapy"/>
    <n v="20000"/>
    <n v="62"/>
    <x v="0"/>
    <x v="0"/>
    <n v="3"/>
    <x v="1"/>
    <s v="High"/>
    <s v="No"/>
  </r>
  <r>
    <n v="808"/>
    <n v="35"/>
    <x v="0"/>
    <x v="12"/>
    <s v="Delivery and Postnatal Care"/>
    <n v="12000"/>
    <n v="56"/>
    <x v="0"/>
    <x v="0"/>
    <n v="4"/>
    <x v="2"/>
    <s v="High"/>
    <s v="Yes"/>
  </r>
  <r>
    <n v="809"/>
    <n v="50"/>
    <x v="1"/>
    <x v="13"/>
    <s v="Lithotripsy"/>
    <n v="6000"/>
    <n v="57"/>
    <x v="0"/>
    <x v="0"/>
    <n v="3"/>
    <x v="0"/>
    <s v="Medium"/>
    <s v="No"/>
  </r>
  <r>
    <n v="810"/>
    <n v="60"/>
    <x v="0"/>
    <x v="14"/>
    <s v="Physical Therapy and Pain Management"/>
    <n v="4000"/>
    <n v="58"/>
    <x v="0"/>
    <x v="1"/>
    <n v="4"/>
    <x v="1"/>
    <s v="Medium"/>
    <s v="Yes"/>
  </r>
  <r>
    <n v="811"/>
    <n v="48"/>
    <x v="0"/>
    <x v="0"/>
    <s v="Angioplasty"/>
    <n v="15000"/>
    <n v="59"/>
    <x v="1"/>
    <x v="0"/>
    <n v="4"/>
    <x v="0"/>
    <s v="High"/>
    <s v="Yes"/>
  </r>
  <r>
    <n v="812"/>
    <n v="65"/>
    <x v="1"/>
    <x v="1"/>
    <s v="Insulin Therapy"/>
    <n v="2000"/>
    <n v="57"/>
    <x v="0"/>
    <x v="1"/>
    <n v="3"/>
    <x v="1"/>
    <s v="Medium"/>
    <s v="No"/>
  </r>
  <r>
    <n v="813"/>
    <n v="30"/>
    <x v="0"/>
    <x v="2"/>
    <s v="X-Ray and Splint"/>
    <n v="500"/>
    <n v="55"/>
    <x v="0"/>
    <x v="0"/>
    <n v="5"/>
    <x v="2"/>
    <s v="Low"/>
    <s v="Yes"/>
  </r>
  <r>
    <n v="814"/>
    <n v="70"/>
    <x v="1"/>
    <x v="3"/>
    <s v="CT Scan and Medication"/>
    <n v="10000"/>
    <n v="62"/>
    <x v="1"/>
    <x v="1"/>
    <n v="2"/>
    <x v="1"/>
    <s v="High"/>
    <s v="No"/>
  </r>
  <r>
    <n v="815"/>
    <n v="55"/>
    <x v="0"/>
    <x v="4"/>
    <s v="Surgery and Chemotherapy"/>
    <n v="25000"/>
    <n v="64"/>
    <x v="0"/>
    <x v="0"/>
    <n v="4"/>
    <x v="0"/>
    <s v="High"/>
    <s v="Yes"/>
  </r>
  <r>
    <n v="816"/>
    <n v="68"/>
    <x v="1"/>
    <x v="5"/>
    <s v="Medication and Counseling"/>
    <n v="1000"/>
    <n v="58"/>
    <x v="0"/>
    <x v="1"/>
    <n v="4"/>
    <x v="1"/>
    <s v="Low"/>
    <s v="Yes"/>
  </r>
  <r>
    <n v="817"/>
    <n v="45"/>
    <x v="0"/>
    <x v="6"/>
    <s v="Appendectomy"/>
    <n v="8000"/>
    <n v="60"/>
    <x v="0"/>
    <x v="0"/>
    <n v="3"/>
    <x v="0"/>
    <s v="Medium"/>
    <s v="No"/>
  </r>
  <r>
    <n v="818"/>
    <n v="40"/>
    <x v="1"/>
    <x v="7"/>
    <s v="Cast and Physical Therapy"/>
    <n v="3000"/>
    <n v="60"/>
    <x v="0"/>
    <x v="0"/>
    <n v="4"/>
    <x v="2"/>
    <s v="Medium"/>
    <s v="Yes"/>
  </r>
  <r>
    <n v="819"/>
    <n v="78"/>
    <x v="0"/>
    <x v="8"/>
    <s v="Cardiac Catheterization"/>
    <n v="18000"/>
    <n v="62"/>
    <x v="1"/>
    <x v="1"/>
    <n v="2"/>
    <x v="3"/>
    <s v="High"/>
    <s v="No"/>
  </r>
  <r>
    <n v="820"/>
    <n v="25"/>
    <x v="1"/>
    <x v="9"/>
    <s v="Epinephrine Injection"/>
    <n v="100"/>
    <n v="55"/>
    <x v="0"/>
    <x v="0"/>
    <n v="5"/>
    <x v="4"/>
    <s v="Low"/>
    <s v="Yes"/>
  </r>
  <r>
    <n v="821"/>
    <n v="52"/>
    <x v="0"/>
    <x v="10"/>
    <s v="Antibiotics and Rest"/>
    <n v="800"/>
    <n v="56"/>
    <x v="0"/>
    <x v="1"/>
    <n v="4"/>
    <x v="0"/>
    <s v="Low"/>
    <s v="Yes"/>
  </r>
  <r>
    <n v="822"/>
    <n v="58"/>
    <x v="1"/>
    <x v="11"/>
    <s v="Radiation Therapy"/>
    <n v="20000"/>
    <n v="63"/>
    <x v="0"/>
    <x v="0"/>
    <n v="3"/>
    <x v="0"/>
    <s v="High"/>
    <s v="No"/>
  </r>
  <r>
    <n v="823"/>
    <n v="32"/>
    <x v="0"/>
    <x v="12"/>
    <s v="Delivery and Postnatal Care"/>
    <n v="12000"/>
    <n v="57"/>
    <x v="0"/>
    <x v="0"/>
    <n v="4"/>
    <x v="2"/>
    <s v="High"/>
    <s v="Yes"/>
  </r>
  <r>
    <n v="824"/>
    <n v="55"/>
    <x v="1"/>
    <x v="13"/>
    <s v="Lithotripsy"/>
    <n v="6000"/>
    <n v="58"/>
    <x v="0"/>
    <x v="0"/>
    <n v="3"/>
    <x v="0"/>
    <s v="Medium"/>
    <s v="No"/>
  </r>
  <r>
    <n v="825"/>
    <n v="65"/>
    <x v="0"/>
    <x v="14"/>
    <s v="Physical Therapy and Pain Management"/>
    <n v="4000"/>
    <n v="59"/>
    <x v="0"/>
    <x v="1"/>
    <n v="4"/>
    <x v="1"/>
    <s v="Medium"/>
    <s v="Yes"/>
  </r>
  <r>
    <n v="826"/>
    <n v="55"/>
    <x v="0"/>
    <x v="0"/>
    <s v="Angioplasty"/>
    <n v="15000"/>
    <n v="60"/>
    <x v="1"/>
    <x v="0"/>
    <n v="3"/>
    <x v="0"/>
    <s v="High"/>
    <s v="No"/>
  </r>
  <r>
    <n v="827"/>
    <n v="62"/>
    <x v="1"/>
    <x v="1"/>
    <s v="Insulin Therapy"/>
    <n v="2000"/>
    <n v="58"/>
    <x v="0"/>
    <x v="1"/>
    <n v="4"/>
    <x v="1"/>
    <s v="Medium"/>
    <s v="Yes"/>
  </r>
  <r>
    <n v="828"/>
    <n v="35"/>
    <x v="0"/>
    <x v="2"/>
    <s v="X-Ray and Splint"/>
    <n v="500"/>
    <n v="56"/>
    <x v="1"/>
    <x v="0"/>
    <n v="5"/>
    <x v="2"/>
    <s v="Low"/>
    <s v="Yes"/>
  </r>
  <r>
    <n v="829"/>
    <n v="78"/>
    <x v="1"/>
    <x v="3"/>
    <s v="CT Scan and Medication"/>
    <n v="10000"/>
    <n v="63"/>
    <x v="0"/>
    <x v="1"/>
    <n v="2"/>
    <x v="3"/>
    <s v="High"/>
    <s v="No"/>
  </r>
  <r>
    <n v="830"/>
    <n v="53"/>
    <x v="0"/>
    <x v="4"/>
    <s v="Surgery and Chemotherapy"/>
    <n v="25000"/>
    <n v="65"/>
    <x v="1"/>
    <x v="0"/>
    <n v="4"/>
    <x v="0"/>
    <s v="High"/>
    <s v="Yes"/>
  </r>
  <r>
    <n v="831"/>
    <n v="72"/>
    <x v="1"/>
    <x v="5"/>
    <s v="Medication and Counseling"/>
    <n v="1000"/>
    <n v="59"/>
    <x v="0"/>
    <x v="1"/>
    <n v="4"/>
    <x v="1"/>
    <s v="Low"/>
    <s v="Yes"/>
  </r>
  <r>
    <n v="832"/>
    <n v="60"/>
    <x v="0"/>
    <x v="6"/>
    <s v="Appendectomy"/>
    <n v="8000"/>
    <n v="61"/>
    <x v="1"/>
    <x v="0"/>
    <n v="3"/>
    <x v="1"/>
    <s v="Medium"/>
    <s v="No"/>
  </r>
  <r>
    <n v="833"/>
    <n v="45"/>
    <x v="1"/>
    <x v="7"/>
    <s v="Cast and Physical Therapy"/>
    <n v="3000"/>
    <n v="61"/>
    <x v="0"/>
    <x v="0"/>
    <n v="4"/>
    <x v="0"/>
    <s v="Medium"/>
    <s v="Yes"/>
  </r>
  <r>
    <n v="834"/>
    <n v="75"/>
    <x v="0"/>
    <x v="8"/>
    <s v="Cardiac Catheterization"/>
    <n v="18000"/>
    <n v="63"/>
    <x v="1"/>
    <x v="1"/>
    <n v="2"/>
    <x v="3"/>
    <s v="High"/>
    <s v="No"/>
  </r>
  <r>
    <n v="835"/>
    <n v="28"/>
    <x v="1"/>
    <x v="9"/>
    <s v="Epinephrine Injection"/>
    <n v="100"/>
    <n v="56"/>
    <x v="0"/>
    <x v="0"/>
    <n v="5"/>
    <x v="4"/>
    <s v="Low"/>
    <s v="Yes"/>
  </r>
  <r>
    <n v="836"/>
    <n v="52"/>
    <x v="0"/>
    <x v="10"/>
    <s v="Antibiotics and Rest"/>
    <n v="800"/>
    <n v="57"/>
    <x v="0"/>
    <x v="1"/>
    <n v="4"/>
    <x v="0"/>
    <s v="Low"/>
    <s v="Yes"/>
  </r>
  <r>
    <n v="837"/>
    <n v="67"/>
    <x v="1"/>
    <x v="11"/>
    <s v="Radiation Therapy"/>
    <n v="20000"/>
    <n v="64"/>
    <x v="0"/>
    <x v="0"/>
    <n v="3"/>
    <x v="1"/>
    <s v="High"/>
    <s v="No"/>
  </r>
  <r>
    <n v="838"/>
    <n v="35"/>
    <x v="0"/>
    <x v="12"/>
    <s v="Delivery and Postnatal Care"/>
    <n v="12000"/>
    <n v="58"/>
    <x v="0"/>
    <x v="0"/>
    <n v="4"/>
    <x v="2"/>
    <s v="High"/>
    <s v="Yes"/>
  </r>
  <r>
    <n v="839"/>
    <n v="50"/>
    <x v="1"/>
    <x v="13"/>
    <s v="Lithotripsy"/>
    <n v="6000"/>
    <n v="59"/>
    <x v="0"/>
    <x v="0"/>
    <n v="3"/>
    <x v="0"/>
    <s v="Medium"/>
    <s v="No"/>
  </r>
  <r>
    <n v="840"/>
    <n v="60"/>
    <x v="0"/>
    <x v="14"/>
    <s v="Physical Therapy and Pain Management"/>
    <n v="4000"/>
    <n v="60"/>
    <x v="0"/>
    <x v="1"/>
    <n v="4"/>
    <x v="1"/>
    <s v="Medium"/>
    <s v="Yes"/>
  </r>
  <r>
    <n v="841"/>
    <n v="48"/>
    <x v="0"/>
    <x v="0"/>
    <s v="Angioplasty"/>
    <n v="15000"/>
    <n v="61"/>
    <x v="1"/>
    <x v="0"/>
    <n v="4"/>
    <x v="0"/>
    <s v="High"/>
    <s v="Yes"/>
  </r>
  <r>
    <n v="842"/>
    <n v="65"/>
    <x v="1"/>
    <x v="1"/>
    <s v="Insulin Therapy"/>
    <n v="2000"/>
    <n v="59"/>
    <x v="0"/>
    <x v="1"/>
    <n v="3"/>
    <x v="1"/>
    <s v="Medium"/>
    <s v="No"/>
  </r>
  <r>
    <n v="843"/>
    <n v="30"/>
    <x v="0"/>
    <x v="2"/>
    <s v="X-Ray and Splint"/>
    <n v="500"/>
    <n v="57"/>
    <x v="0"/>
    <x v="0"/>
    <n v="5"/>
    <x v="2"/>
    <s v="Low"/>
    <s v="Yes"/>
  </r>
  <r>
    <n v="844"/>
    <n v="70"/>
    <x v="1"/>
    <x v="3"/>
    <s v="CT Scan and Medication"/>
    <n v="10000"/>
    <n v="64"/>
    <x v="1"/>
    <x v="1"/>
    <n v="2"/>
    <x v="1"/>
    <s v="High"/>
    <s v="No"/>
  </r>
  <r>
    <n v="846"/>
    <n v="68"/>
    <x v="1"/>
    <x v="5"/>
    <s v="Medication and Counseling"/>
    <n v="1000"/>
    <n v="60"/>
    <x v="0"/>
    <x v="1"/>
    <n v="4"/>
    <x v="1"/>
    <s v="Low"/>
    <s v="Yes"/>
  </r>
  <r>
    <n v="847"/>
    <n v="45"/>
    <x v="0"/>
    <x v="6"/>
    <s v="Appendectomy"/>
    <n v="8000"/>
    <n v="62"/>
    <x v="0"/>
    <x v="0"/>
    <n v="3"/>
    <x v="0"/>
    <s v="Medium"/>
    <s v="No"/>
  </r>
  <r>
    <n v="848"/>
    <n v="40"/>
    <x v="1"/>
    <x v="7"/>
    <s v="Cast and Physical Therapy"/>
    <n v="3000"/>
    <n v="62"/>
    <x v="0"/>
    <x v="0"/>
    <n v="4"/>
    <x v="2"/>
    <s v="Medium"/>
    <s v="Yes"/>
  </r>
  <r>
    <n v="849"/>
    <n v="78"/>
    <x v="0"/>
    <x v="8"/>
    <s v="Cardiac Catheterization"/>
    <n v="18000"/>
    <n v="64"/>
    <x v="1"/>
    <x v="1"/>
    <n v="2"/>
    <x v="3"/>
    <s v="High"/>
    <s v="No"/>
  </r>
  <r>
    <n v="850"/>
    <n v="25"/>
    <x v="1"/>
    <x v="9"/>
    <s v="Epinephrine Injection"/>
    <n v="100"/>
    <n v="57"/>
    <x v="0"/>
    <x v="0"/>
    <n v="5"/>
    <x v="4"/>
    <s v="Low"/>
    <s v="Yes"/>
  </r>
  <r>
    <n v="851"/>
    <n v="52"/>
    <x v="0"/>
    <x v="10"/>
    <s v="Antibiotics and Rest"/>
    <n v="800"/>
    <n v="58"/>
    <x v="0"/>
    <x v="1"/>
    <n v="4"/>
    <x v="0"/>
    <s v="Low"/>
    <s v="Yes"/>
  </r>
  <r>
    <n v="852"/>
    <n v="58"/>
    <x v="1"/>
    <x v="11"/>
    <s v="Radiation Therapy"/>
    <n v="20000"/>
    <n v="65"/>
    <x v="0"/>
    <x v="0"/>
    <n v="3"/>
    <x v="0"/>
    <s v="High"/>
    <s v="No"/>
  </r>
  <r>
    <n v="853"/>
    <n v="32"/>
    <x v="0"/>
    <x v="12"/>
    <s v="Delivery and Postnatal Care"/>
    <n v="12000"/>
    <n v="59"/>
    <x v="0"/>
    <x v="0"/>
    <n v="4"/>
    <x v="2"/>
    <s v="High"/>
    <s v="Yes"/>
  </r>
  <r>
    <n v="854"/>
    <n v="55"/>
    <x v="1"/>
    <x v="13"/>
    <s v="Lithotripsy"/>
    <n v="6000"/>
    <n v="60"/>
    <x v="0"/>
    <x v="0"/>
    <n v="3"/>
    <x v="0"/>
    <s v="Medium"/>
    <s v="No"/>
  </r>
  <r>
    <n v="855"/>
    <n v="65"/>
    <x v="0"/>
    <x v="14"/>
    <s v="Physical Therapy and Pain Management"/>
    <n v="4000"/>
    <n v="61"/>
    <x v="0"/>
    <x v="1"/>
    <n v="4"/>
    <x v="1"/>
    <s v="Medium"/>
    <s v="Yes"/>
  </r>
  <r>
    <n v="856"/>
    <n v="55"/>
    <x v="0"/>
    <x v="0"/>
    <s v="Angioplasty"/>
    <n v="15000"/>
    <n v="62"/>
    <x v="1"/>
    <x v="0"/>
    <n v="3"/>
    <x v="0"/>
    <s v="High"/>
    <s v="No"/>
  </r>
  <r>
    <n v="857"/>
    <n v="62"/>
    <x v="1"/>
    <x v="1"/>
    <s v="Insulin Therapy"/>
    <n v="2000"/>
    <n v="60"/>
    <x v="0"/>
    <x v="1"/>
    <n v="4"/>
    <x v="1"/>
    <s v="Medium"/>
    <s v="Yes"/>
  </r>
  <r>
    <n v="858"/>
    <n v="35"/>
    <x v="0"/>
    <x v="2"/>
    <s v="X-Ray and Splint"/>
    <n v="500"/>
    <n v="58"/>
    <x v="1"/>
    <x v="0"/>
    <n v="5"/>
    <x v="2"/>
    <s v="Low"/>
    <s v="Yes"/>
  </r>
  <r>
    <n v="859"/>
    <n v="78"/>
    <x v="1"/>
    <x v="3"/>
    <s v="CT Scan and Medication"/>
    <n v="10000"/>
    <n v="65"/>
    <x v="0"/>
    <x v="1"/>
    <n v="2"/>
    <x v="3"/>
    <s v="High"/>
    <s v="No"/>
  </r>
  <r>
    <n v="860"/>
    <n v="53"/>
    <x v="0"/>
    <x v="4"/>
    <s v="Surgery and Chemotherapy"/>
    <n v="25000"/>
    <n v="67"/>
    <x v="1"/>
    <x v="0"/>
    <n v="4"/>
    <x v="0"/>
    <s v="High"/>
    <s v="Yes"/>
  </r>
  <r>
    <n v="861"/>
    <n v="72"/>
    <x v="1"/>
    <x v="5"/>
    <s v="Medication and Counseling"/>
    <n v="1000"/>
    <n v="61"/>
    <x v="0"/>
    <x v="1"/>
    <n v="4"/>
    <x v="1"/>
    <s v="Low"/>
    <s v="Yes"/>
  </r>
  <r>
    <n v="862"/>
    <n v="60"/>
    <x v="0"/>
    <x v="6"/>
    <s v="Appendectomy"/>
    <n v="8000"/>
    <n v="63"/>
    <x v="1"/>
    <x v="0"/>
    <n v="3"/>
    <x v="1"/>
    <s v="Medium"/>
    <s v="No"/>
  </r>
  <r>
    <n v="863"/>
    <n v="45"/>
    <x v="1"/>
    <x v="7"/>
    <s v="Cast and Physical Therapy"/>
    <n v="3000"/>
    <n v="63"/>
    <x v="0"/>
    <x v="0"/>
    <n v="4"/>
    <x v="0"/>
    <s v="Medium"/>
    <s v="Yes"/>
  </r>
  <r>
    <n v="864"/>
    <n v="75"/>
    <x v="0"/>
    <x v="8"/>
    <s v="Cardiac Catheterization"/>
    <n v="18000"/>
    <n v="65"/>
    <x v="1"/>
    <x v="1"/>
    <n v="2"/>
    <x v="3"/>
    <s v="High"/>
    <s v="No"/>
  </r>
  <r>
    <n v="865"/>
    <n v="28"/>
    <x v="1"/>
    <x v="9"/>
    <s v="Epinephrine Injection"/>
    <n v="100"/>
    <n v="58"/>
    <x v="0"/>
    <x v="0"/>
    <n v="5"/>
    <x v="4"/>
    <s v="Low"/>
    <s v="Yes"/>
  </r>
  <r>
    <n v="866"/>
    <n v="52"/>
    <x v="0"/>
    <x v="10"/>
    <s v="Antibiotics and Rest"/>
    <n v="800"/>
    <n v="59"/>
    <x v="0"/>
    <x v="1"/>
    <n v="4"/>
    <x v="0"/>
    <s v="Low"/>
    <s v="Yes"/>
  </r>
  <r>
    <n v="867"/>
    <n v="67"/>
    <x v="1"/>
    <x v="11"/>
    <s v="Radiation Therapy"/>
    <n v="20000"/>
    <n v="66"/>
    <x v="0"/>
    <x v="0"/>
    <n v="3"/>
    <x v="1"/>
    <s v="High"/>
    <s v="No"/>
  </r>
  <r>
    <n v="868"/>
    <n v="35"/>
    <x v="0"/>
    <x v="12"/>
    <s v="Delivery and Postnatal Care"/>
    <n v="12000"/>
    <n v="60"/>
    <x v="0"/>
    <x v="0"/>
    <n v="4"/>
    <x v="2"/>
    <s v="High"/>
    <s v="Yes"/>
  </r>
  <r>
    <n v="869"/>
    <n v="50"/>
    <x v="1"/>
    <x v="13"/>
    <s v="Lithotripsy"/>
    <n v="6000"/>
    <n v="61"/>
    <x v="0"/>
    <x v="0"/>
    <n v="3"/>
    <x v="0"/>
    <s v="Medium"/>
    <s v="No"/>
  </r>
  <r>
    <n v="870"/>
    <n v="60"/>
    <x v="0"/>
    <x v="14"/>
    <s v="Physical Therapy and Pain Management"/>
    <n v="4000"/>
    <n v="62"/>
    <x v="0"/>
    <x v="1"/>
    <n v="4"/>
    <x v="1"/>
    <s v="Medium"/>
    <s v="Yes"/>
  </r>
  <r>
    <n v="871"/>
    <n v="48"/>
    <x v="0"/>
    <x v="0"/>
    <s v="Angioplasty"/>
    <n v="15000"/>
    <n v="63"/>
    <x v="1"/>
    <x v="0"/>
    <n v="4"/>
    <x v="0"/>
    <s v="High"/>
    <s v="Yes"/>
  </r>
  <r>
    <n v="872"/>
    <n v="65"/>
    <x v="1"/>
    <x v="1"/>
    <s v="Insulin Therapy"/>
    <n v="2000"/>
    <n v="61"/>
    <x v="0"/>
    <x v="1"/>
    <n v="3"/>
    <x v="1"/>
    <s v="Medium"/>
    <s v="No"/>
  </r>
  <r>
    <n v="873"/>
    <n v="30"/>
    <x v="0"/>
    <x v="2"/>
    <s v="X-Ray and Splint"/>
    <n v="500"/>
    <n v="59"/>
    <x v="0"/>
    <x v="0"/>
    <n v="5"/>
    <x v="2"/>
    <s v="Low"/>
    <s v="Yes"/>
  </r>
  <r>
    <n v="874"/>
    <n v="70"/>
    <x v="1"/>
    <x v="3"/>
    <s v="CT Scan and Medication"/>
    <n v="10000"/>
    <n v="66"/>
    <x v="1"/>
    <x v="1"/>
    <n v="2"/>
    <x v="1"/>
    <s v="High"/>
    <s v="No"/>
  </r>
  <r>
    <n v="875"/>
    <n v="55"/>
    <x v="0"/>
    <x v="4"/>
    <s v="Surgery and Chemotherapy"/>
    <n v="25000"/>
    <n v="68"/>
    <x v="0"/>
    <x v="0"/>
    <n v="4"/>
    <x v="0"/>
    <s v="High"/>
    <s v="Yes"/>
  </r>
  <r>
    <n v="876"/>
    <n v="68"/>
    <x v="1"/>
    <x v="5"/>
    <s v="Medication and Counseling"/>
    <n v="1000"/>
    <n v="62"/>
    <x v="0"/>
    <x v="1"/>
    <n v="4"/>
    <x v="1"/>
    <s v="Low"/>
    <s v="Yes"/>
  </r>
  <r>
    <n v="877"/>
    <n v="45"/>
    <x v="0"/>
    <x v="6"/>
    <s v="Appendectomy"/>
    <n v="8000"/>
    <n v="64"/>
    <x v="0"/>
    <x v="0"/>
    <n v="3"/>
    <x v="0"/>
    <s v="Medium"/>
    <s v="No"/>
  </r>
  <r>
    <n v="878"/>
    <n v="40"/>
    <x v="1"/>
    <x v="7"/>
    <s v="Cast and Physical Therapy"/>
    <n v="3000"/>
    <n v="64"/>
    <x v="0"/>
    <x v="0"/>
    <n v="4"/>
    <x v="2"/>
    <s v="Medium"/>
    <s v="Yes"/>
  </r>
  <r>
    <n v="879"/>
    <n v="78"/>
    <x v="0"/>
    <x v="8"/>
    <s v="Cardiac Catheterization"/>
    <n v="18000"/>
    <n v="66"/>
    <x v="1"/>
    <x v="1"/>
    <n v="2"/>
    <x v="3"/>
    <s v="High"/>
    <s v="No"/>
  </r>
  <r>
    <n v="880"/>
    <n v="25"/>
    <x v="1"/>
    <x v="9"/>
    <s v="Epinephrine Injection"/>
    <n v="100"/>
    <n v="59"/>
    <x v="0"/>
    <x v="0"/>
    <n v="5"/>
    <x v="4"/>
    <s v="Low"/>
    <s v="Yes"/>
  </r>
  <r>
    <n v="881"/>
    <n v="52"/>
    <x v="0"/>
    <x v="10"/>
    <s v="Antibiotics and Rest"/>
    <n v="800"/>
    <n v="60"/>
    <x v="0"/>
    <x v="1"/>
    <n v="4"/>
    <x v="0"/>
    <s v="Low"/>
    <s v="Yes"/>
  </r>
  <r>
    <n v="882"/>
    <n v="58"/>
    <x v="1"/>
    <x v="11"/>
    <s v="Radiation Therapy"/>
    <n v="20000"/>
    <n v="67"/>
    <x v="0"/>
    <x v="0"/>
    <n v="3"/>
    <x v="0"/>
    <s v="High"/>
    <s v="No"/>
  </r>
  <r>
    <n v="883"/>
    <n v="32"/>
    <x v="0"/>
    <x v="12"/>
    <s v="Delivery and Postnatal Care"/>
    <n v="12000"/>
    <n v="61"/>
    <x v="0"/>
    <x v="0"/>
    <n v="4"/>
    <x v="2"/>
    <s v="High"/>
    <s v="Yes"/>
  </r>
  <r>
    <n v="884"/>
    <n v="55"/>
    <x v="1"/>
    <x v="13"/>
    <s v="Lithotripsy"/>
    <n v="6000"/>
    <n v="62"/>
    <x v="0"/>
    <x v="0"/>
    <n v="3"/>
    <x v="0"/>
    <s v="Medium"/>
    <s v="No"/>
  </r>
  <r>
    <n v="885"/>
    <n v="65"/>
    <x v="0"/>
    <x v="14"/>
    <s v="Physical Therapy and Pain Management"/>
    <n v="4000"/>
    <n v="63"/>
    <x v="0"/>
    <x v="1"/>
    <n v="4"/>
    <x v="1"/>
    <s v="Medium"/>
    <s v="Yes"/>
  </r>
  <r>
    <n v="886"/>
    <n v="55"/>
    <x v="0"/>
    <x v="0"/>
    <s v="Angioplasty"/>
    <n v="15000"/>
    <n v="64"/>
    <x v="1"/>
    <x v="0"/>
    <n v="3"/>
    <x v="0"/>
    <s v="High"/>
    <s v="No"/>
  </r>
  <r>
    <n v="887"/>
    <n v="62"/>
    <x v="1"/>
    <x v="1"/>
    <s v="Insulin Therapy"/>
    <n v="2000"/>
    <n v="62"/>
    <x v="0"/>
    <x v="1"/>
    <n v="4"/>
    <x v="1"/>
    <s v="Medium"/>
    <s v="Yes"/>
  </r>
  <r>
    <n v="888"/>
    <n v="35"/>
    <x v="0"/>
    <x v="2"/>
    <s v="X-Ray and Splint"/>
    <n v="500"/>
    <n v="60"/>
    <x v="1"/>
    <x v="0"/>
    <n v="5"/>
    <x v="2"/>
    <s v="Low"/>
    <s v="Yes"/>
  </r>
  <r>
    <n v="889"/>
    <n v="78"/>
    <x v="1"/>
    <x v="3"/>
    <s v="CT Scan and Medication"/>
    <n v="10000"/>
    <n v="67"/>
    <x v="0"/>
    <x v="1"/>
    <n v="2"/>
    <x v="3"/>
    <s v="High"/>
    <s v="No"/>
  </r>
  <r>
    <n v="890"/>
    <n v="53"/>
    <x v="0"/>
    <x v="4"/>
    <s v="Surgery and Chemotherapy"/>
    <n v="25000"/>
    <n v="69"/>
    <x v="1"/>
    <x v="0"/>
    <n v="4"/>
    <x v="0"/>
    <s v="High"/>
    <s v="Yes"/>
  </r>
  <r>
    <n v="891"/>
    <n v="72"/>
    <x v="1"/>
    <x v="5"/>
    <s v="Medication and Counseling"/>
    <n v="1000"/>
    <n v="63"/>
    <x v="0"/>
    <x v="1"/>
    <n v="4"/>
    <x v="1"/>
    <s v="Low"/>
    <s v="Yes"/>
  </r>
  <r>
    <n v="892"/>
    <n v="60"/>
    <x v="0"/>
    <x v="6"/>
    <s v="Appendectomy"/>
    <n v="8000"/>
    <n v="65"/>
    <x v="1"/>
    <x v="0"/>
    <n v="3"/>
    <x v="1"/>
    <s v="Medium"/>
    <s v="No"/>
  </r>
  <r>
    <n v="893"/>
    <n v="45"/>
    <x v="1"/>
    <x v="7"/>
    <s v="Cast and Physical Therapy"/>
    <n v="3000"/>
    <n v="65"/>
    <x v="0"/>
    <x v="0"/>
    <n v="4"/>
    <x v="0"/>
    <s v="Medium"/>
    <s v="Yes"/>
  </r>
  <r>
    <n v="894"/>
    <n v="75"/>
    <x v="0"/>
    <x v="8"/>
    <s v="Cardiac Catheterization"/>
    <n v="18000"/>
    <n v="67"/>
    <x v="1"/>
    <x v="1"/>
    <n v="2"/>
    <x v="3"/>
    <s v="High"/>
    <s v="No"/>
  </r>
  <r>
    <n v="895"/>
    <n v="28"/>
    <x v="1"/>
    <x v="9"/>
    <s v="Epinephrine Injection"/>
    <n v="100"/>
    <n v="60"/>
    <x v="0"/>
    <x v="0"/>
    <n v="5"/>
    <x v="4"/>
    <s v="Low"/>
    <s v="Yes"/>
  </r>
  <r>
    <n v="896"/>
    <n v="52"/>
    <x v="0"/>
    <x v="10"/>
    <s v="Antibiotics and Rest"/>
    <n v="800"/>
    <n v="61"/>
    <x v="0"/>
    <x v="1"/>
    <n v="4"/>
    <x v="0"/>
    <s v="Low"/>
    <s v="Yes"/>
  </r>
  <r>
    <n v="897"/>
    <n v="67"/>
    <x v="1"/>
    <x v="11"/>
    <s v="Radiation Therapy"/>
    <n v="20000"/>
    <n v="68"/>
    <x v="0"/>
    <x v="0"/>
    <n v="3"/>
    <x v="1"/>
    <s v="High"/>
    <s v="No"/>
  </r>
  <r>
    <n v="898"/>
    <n v="35"/>
    <x v="0"/>
    <x v="12"/>
    <s v="Delivery and Postnatal Care"/>
    <n v="12000"/>
    <n v="62"/>
    <x v="0"/>
    <x v="0"/>
    <n v="4"/>
    <x v="2"/>
    <s v="High"/>
    <s v="Yes"/>
  </r>
  <r>
    <n v="899"/>
    <n v="50"/>
    <x v="1"/>
    <x v="13"/>
    <s v="Lithotripsy"/>
    <n v="6000"/>
    <n v="63"/>
    <x v="0"/>
    <x v="0"/>
    <n v="3"/>
    <x v="0"/>
    <s v="Medium"/>
    <s v="No"/>
  </r>
  <r>
    <n v="900"/>
    <n v="60"/>
    <x v="0"/>
    <x v="14"/>
    <s v="Physical Therapy and Pain Management"/>
    <n v="4000"/>
    <n v="64"/>
    <x v="0"/>
    <x v="1"/>
    <n v="4"/>
    <x v="1"/>
    <s v="Medium"/>
    <s v="Yes"/>
  </r>
  <r>
    <n v="901"/>
    <n v="48"/>
    <x v="0"/>
    <x v="0"/>
    <s v="Angioplasty"/>
    <n v="15000"/>
    <n v="65"/>
    <x v="1"/>
    <x v="0"/>
    <n v="4"/>
    <x v="0"/>
    <s v="High"/>
    <s v="Yes"/>
  </r>
  <r>
    <n v="902"/>
    <n v="65"/>
    <x v="1"/>
    <x v="1"/>
    <s v="Insulin Therapy"/>
    <n v="2000"/>
    <n v="63"/>
    <x v="0"/>
    <x v="1"/>
    <n v="3"/>
    <x v="1"/>
    <s v="Medium"/>
    <s v="No"/>
  </r>
  <r>
    <n v="903"/>
    <n v="30"/>
    <x v="0"/>
    <x v="2"/>
    <s v="X-Ray and Splint"/>
    <n v="500"/>
    <n v="61"/>
    <x v="0"/>
    <x v="0"/>
    <n v="5"/>
    <x v="2"/>
    <s v="Low"/>
    <s v="Yes"/>
  </r>
  <r>
    <n v="904"/>
    <n v="70"/>
    <x v="1"/>
    <x v="3"/>
    <s v="CT Scan and Medication"/>
    <n v="10000"/>
    <n v="68"/>
    <x v="1"/>
    <x v="1"/>
    <n v="2"/>
    <x v="1"/>
    <s v="High"/>
    <s v="No"/>
  </r>
  <r>
    <n v="905"/>
    <n v="55"/>
    <x v="0"/>
    <x v="4"/>
    <s v="Surgery and Chemotherapy"/>
    <n v="25000"/>
    <n v="70"/>
    <x v="0"/>
    <x v="0"/>
    <n v="4"/>
    <x v="0"/>
    <s v="High"/>
    <s v="Yes"/>
  </r>
  <r>
    <n v="907"/>
    <n v="45"/>
    <x v="0"/>
    <x v="6"/>
    <s v="Appendectomy"/>
    <n v="8000"/>
    <n v="66"/>
    <x v="0"/>
    <x v="0"/>
    <n v="3"/>
    <x v="0"/>
    <s v="Medium"/>
    <s v="No"/>
  </r>
  <r>
    <n v="908"/>
    <n v="40"/>
    <x v="1"/>
    <x v="7"/>
    <s v="Cast and Physical Therapy"/>
    <n v="3000"/>
    <n v="66"/>
    <x v="0"/>
    <x v="0"/>
    <n v="4"/>
    <x v="2"/>
    <s v="Medium"/>
    <s v="Yes"/>
  </r>
  <r>
    <n v="909"/>
    <n v="78"/>
    <x v="0"/>
    <x v="8"/>
    <s v="Cardiac Catheterization"/>
    <n v="18000"/>
    <n v="68"/>
    <x v="1"/>
    <x v="1"/>
    <n v="2"/>
    <x v="3"/>
    <s v="High"/>
    <s v="No"/>
  </r>
  <r>
    <n v="910"/>
    <n v="25"/>
    <x v="1"/>
    <x v="9"/>
    <s v="Epinephrine Injection"/>
    <n v="100"/>
    <n v="61"/>
    <x v="0"/>
    <x v="0"/>
    <n v="5"/>
    <x v="4"/>
    <s v="Low"/>
    <s v="Yes"/>
  </r>
  <r>
    <n v="911"/>
    <n v="52"/>
    <x v="0"/>
    <x v="10"/>
    <s v="Antibiotics and Rest"/>
    <n v="800"/>
    <n v="62"/>
    <x v="0"/>
    <x v="1"/>
    <n v="4"/>
    <x v="0"/>
    <s v="Low"/>
    <s v="Yes"/>
  </r>
  <r>
    <n v="912"/>
    <n v="58"/>
    <x v="1"/>
    <x v="11"/>
    <s v="Radiation Therapy"/>
    <n v="20000"/>
    <n v="69"/>
    <x v="0"/>
    <x v="0"/>
    <n v="3"/>
    <x v="0"/>
    <s v="High"/>
    <s v="No"/>
  </r>
  <r>
    <n v="913"/>
    <n v="32"/>
    <x v="0"/>
    <x v="12"/>
    <s v="Delivery and Postnatal Care"/>
    <n v="12000"/>
    <n v="63"/>
    <x v="0"/>
    <x v="0"/>
    <n v="4"/>
    <x v="2"/>
    <s v="High"/>
    <s v="Yes"/>
  </r>
  <r>
    <n v="914"/>
    <n v="55"/>
    <x v="1"/>
    <x v="13"/>
    <s v="Lithotripsy"/>
    <n v="6000"/>
    <n v="64"/>
    <x v="0"/>
    <x v="0"/>
    <n v="3"/>
    <x v="0"/>
    <s v="Medium"/>
    <s v="No"/>
  </r>
  <r>
    <n v="915"/>
    <n v="65"/>
    <x v="0"/>
    <x v="14"/>
    <s v="Physical Therapy and Pain Management"/>
    <n v="4000"/>
    <n v="65"/>
    <x v="0"/>
    <x v="1"/>
    <n v="4"/>
    <x v="1"/>
    <s v="Medium"/>
    <s v="Yes"/>
  </r>
  <r>
    <n v="916"/>
    <n v="55"/>
    <x v="0"/>
    <x v="0"/>
    <s v="Angioplasty"/>
    <n v="15000"/>
    <n v="66"/>
    <x v="1"/>
    <x v="0"/>
    <n v="3"/>
    <x v="0"/>
    <s v="High"/>
    <s v="No"/>
  </r>
  <r>
    <n v="917"/>
    <n v="62"/>
    <x v="1"/>
    <x v="1"/>
    <s v="Insulin Therapy"/>
    <n v="2000"/>
    <n v="64"/>
    <x v="0"/>
    <x v="1"/>
    <n v="4"/>
    <x v="1"/>
    <s v="Medium"/>
    <s v="Yes"/>
  </r>
  <r>
    <n v="918"/>
    <n v="35"/>
    <x v="0"/>
    <x v="2"/>
    <s v="X-Ray and Splint"/>
    <n v="500"/>
    <n v="62"/>
    <x v="1"/>
    <x v="0"/>
    <n v="5"/>
    <x v="2"/>
    <s v="Low"/>
    <s v="Yes"/>
  </r>
  <r>
    <n v="919"/>
    <n v="78"/>
    <x v="1"/>
    <x v="3"/>
    <s v="CT Scan and Medication"/>
    <n v="10000"/>
    <n v="69"/>
    <x v="0"/>
    <x v="1"/>
    <n v="2"/>
    <x v="3"/>
    <s v="High"/>
    <s v="No"/>
  </r>
  <r>
    <n v="920"/>
    <n v="53"/>
    <x v="0"/>
    <x v="4"/>
    <s v="Surgery and Chemotherapy"/>
    <n v="25000"/>
    <n v="71"/>
    <x v="1"/>
    <x v="0"/>
    <n v="4"/>
    <x v="0"/>
    <s v="High"/>
    <s v="Yes"/>
  </r>
  <r>
    <n v="921"/>
    <n v="72"/>
    <x v="1"/>
    <x v="5"/>
    <s v="Medication and Counseling"/>
    <n v="1000"/>
    <n v="65"/>
    <x v="0"/>
    <x v="1"/>
    <n v="4"/>
    <x v="1"/>
    <s v="Low"/>
    <s v="Yes"/>
  </r>
  <r>
    <n v="922"/>
    <n v="60"/>
    <x v="0"/>
    <x v="6"/>
    <s v="Appendectomy"/>
    <n v="8000"/>
    <n v="67"/>
    <x v="1"/>
    <x v="0"/>
    <n v="3"/>
    <x v="1"/>
    <s v="Medium"/>
    <s v="No"/>
  </r>
  <r>
    <n v="923"/>
    <n v="45"/>
    <x v="1"/>
    <x v="7"/>
    <s v="Cast and Physical Therapy"/>
    <n v="3000"/>
    <n v="67"/>
    <x v="0"/>
    <x v="0"/>
    <n v="4"/>
    <x v="0"/>
    <s v="Medium"/>
    <s v="Yes"/>
  </r>
  <r>
    <n v="924"/>
    <n v="75"/>
    <x v="0"/>
    <x v="8"/>
    <s v="Cardiac Catheterization"/>
    <n v="18000"/>
    <n v="69"/>
    <x v="1"/>
    <x v="1"/>
    <n v="2"/>
    <x v="3"/>
    <s v="High"/>
    <s v="No"/>
  </r>
  <r>
    <n v="925"/>
    <n v="28"/>
    <x v="1"/>
    <x v="9"/>
    <s v="Epinephrine Injection"/>
    <n v="100"/>
    <n v="62"/>
    <x v="0"/>
    <x v="0"/>
    <n v="5"/>
    <x v="4"/>
    <s v="Low"/>
    <s v="Yes"/>
  </r>
  <r>
    <n v="926"/>
    <n v="52"/>
    <x v="0"/>
    <x v="10"/>
    <s v="Antibiotics and Rest"/>
    <n v="800"/>
    <n v="63"/>
    <x v="0"/>
    <x v="1"/>
    <n v="4"/>
    <x v="0"/>
    <s v="Low"/>
    <s v="Yes"/>
  </r>
  <r>
    <n v="927"/>
    <n v="67"/>
    <x v="1"/>
    <x v="11"/>
    <s v="Radiation Therapy"/>
    <n v="20000"/>
    <n v="70"/>
    <x v="0"/>
    <x v="0"/>
    <n v="3"/>
    <x v="1"/>
    <s v="High"/>
    <s v="No"/>
  </r>
  <r>
    <n v="928"/>
    <n v="35"/>
    <x v="0"/>
    <x v="12"/>
    <s v="Delivery and Postnatal Care"/>
    <n v="12000"/>
    <n v="64"/>
    <x v="0"/>
    <x v="0"/>
    <n v="4"/>
    <x v="2"/>
    <s v="High"/>
    <s v="Yes"/>
  </r>
  <r>
    <n v="929"/>
    <n v="50"/>
    <x v="1"/>
    <x v="13"/>
    <s v="Lithotripsy"/>
    <n v="6000"/>
    <n v="65"/>
    <x v="0"/>
    <x v="0"/>
    <n v="3"/>
    <x v="0"/>
    <s v="Medium"/>
    <s v="No"/>
  </r>
  <r>
    <n v="930"/>
    <n v="60"/>
    <x v="0"/>
    <x v="14"/>
    <s v="Physical Therapy and Pain Management"/>
    <n v="4000"/>
    <n v="66"/>
    <x v="0"/>
    <x v="1"/>
    <n v="4"/>
    <x v="1"/>
    <s v="Medium"/>
    <s v="Yes"/>
  </r>
  <r>
    <n v="931"/>
    <n v="48"/>
    <x v="0"/>
    <x v="0"/>
    <s v="Angioplasty"/>
    <n v="15000"/>
    <n v="67"/>
    <x v="1"/>
    <x v="0"/>
    <n v="4"/>
    <x v="0"/>
    <s v="High"/>
    <s v="Yes"/>
  </r>
  <r>
    <n v="932"/>
    <n v="65"/>
    <x v="1"/>
    <x v="1"/>
    <s v="Insulin Therapy"/>
    <n v="2000"/>
    <n v="65"/>
    <x v="0"/>
    <x v="1"/>
    <n v="3"/>
    <x v="1"/>
    <s v="Medium"/>
    <s v="No"/>
  </r>
  <r>
    <n v="933"/>
    <n v="30"/>
    <x v="0"/>
    <x v="2"/>
    <s v="X-Ray and Splint"/>
    <n v="500"/>
    <n v="63"/>
    <x v="0"/>
    <x v="0"/>
    <n v="5"/>
    <x v="2"/>
    <s v="Low"/>
    <s v="Yes"/>
  </r>
  <r>
    <n v="934"/>
    <n v="70"/>
    <x v="1"/>
    <x v="3"/>
    <s v="CT Scan and Medication"/>
    <n v="10000"/>
    <n v="70"/>
    <x v="1"/>
    <x v="1"/>
    <n v="2"/>
    <x v="1"/>
    <s v="High"/>
    <s v="No"/>
  </r>
  <r>
    <n v="935"/>
    <n v="55"/>
    <x v="0"/>
    <x v="4"/>
    <s v="Surgery and Chemotherapy"/>
    <n v="25000"/>
    <n v="72"/>
    <x v="0"/>
    <x v="0"/>
    <n v="4"/>
    <x v="0"/>
    <s v="High"/>
    <s v="Yes"/>
  </r>
  <r>
    <n v="936"/>
    <n v="68"/>
    <x v="1"/>
    <x v="5"/>
    <s v="Medication and Counseling"/>
    <n v="1000"/>
    <n v="66"/>
    <x v="0"/>
    <x v="1"/>
    <n v="4"/>
    <x v="1"/>
    <s v="Low"/>
    <s v="Yes"/>
  </r>
  <r>
    <n v="937"/>
    <n v="45"/>
    <x v="0"/>
    <x v="6"/>
    <s v="Appendectomy"/>
    <n v="8000"/>
    <n v="68"/>
    <x v="0"/>
    <x v="0"/>
    <n v="3"/>
    <x v="0"/>
    <s v="Medium"/>
    <s v="No"/>
  </r>
  <r>
    <n v="938"/>
    <n v="40"/>
    <x v="1"/>
    <x v="7"/>
    <s v="Cast and Physical Therapy"/>
    <n v="3000"/>
    <n v="68"/>
    <x v="0"/>
    <x v="0"/>
    <n v="4"/>
    <x v="2"/>
    <s v="Medium"/>
    <s v="Yes"/>
  </r>
  <r>
    <n v="939"/>
    <n v="78"/>
    <x v="0"/>
    <x v="8"/>
    <s v="Cardiac Catheterization"/>
    <n v="18000"/>
    <n v="70"/>
    <x v="1"/>
    <x v="1"/>
    <n v="2"/>
    <x v="3"/>
    <s v="High"/>
    <s v="No"/>
  </r>
  <r>
    <n v="940"/>
    <n v="25"/>
    <x v="1"/>
    <x v="9"/>
    <s v="Epinephrine Injection"/>
    <n v="100"/>
    <n v="63"/>
    <x v="0"/>
    <x v="0"/>
    <n v="5"/>
    <x v="4"/>
    <s v="Low"/>
    <s v="Yes"/>
  </r>
  <r>
    <n v="941"/>
    <n v="52"/>
    <x v="0"/>
    <x v="10"/>
    <s v="Antibiotics and Rest"/>
    <n v="800"/>
    <n v="64"/>
    <x v="0"/>
    <x v="1"/>
    <n v="4"/>
    <x v="0"/>
    <s v="Low"/>
    <s v="Yes"/>
  </r>
  <r>
    <n v="942"/>
    <n v="58"/>
    <x v="1"/>
    <x v="11"/>
    <s v="Radiation Therapy"/>
    <n v="20000"/>
    <n v="71"/>
    <x v="0"/>
    <x v="0"/>
    <n v="3"/>
    <x v="0"/>
    <s v="High"/>
    <s v="No"/>
  </r>
  <r>
    <n v="943"/>
    <n v="32"/>
    <x v="0"/>
    <x v="12"/>
    <s v="Delivery and Postnatal Care"/>
    <n v="12000"/>
    <n v="65"/>
    <x v="0"/>
    <x v="0"/>
    <n v="4"/>
    <x v="2"/>
    <s v="High"/>
    <s v="Yes"/>
  </r>
  <r>
    <n v="944"/>
    <n v="55"/>
    <x v="1"/>
    <x v="13"/>
    <s v="Lithotripsy"/>
    <n v="6000"/>
    <n v="66"/>
    <x v="0"/>
    <x v="0"/>
    <n v="3"/>
    <x v="0"/>
    <s v="Medium"/>
    <s v="No"/>
  </r>
  <r>
    <n v="945"/>
    <n v="65"/>
    <x v="0"/>
    <x v="14"/>
    <s v="Physical Therapy and Pain Management"/>
    <n v="4000"/>
    <n v="67"/>
    <x v="0"/>
    <x v="1"/>
    <n v="4"/>
    <x v="1"/>
    <s v="Medium"/>
    <s v="Yes"/>
  </r>
  <r>
    <n v="946"/>
    <n v="55"/>
    <x v="0"/>
    <x v="0"/>
    <s v="Angioplasty"/>
    <n v="15000"/>
    <n v="68"/>
    <x v="1"/>
    <x v="0"/>
    <n v="3"/>
    <x v="0"/>
    <s v="High"/>
    <s v="No"/>
  </r>
  <r>
    <n v="947"/>
    <n v="62"/>
    <x v="1"/>
    <x v="1"/>
    <s v="Insulin Therapy"/>
    <n v="2000"/>
    <n v="66"/>
    <x v="0"/>
    <x v="1"/>
    <n v="4"/>
    <x v="1"/>
    <s v="Medium"/>
    <s v="Yes"/>
  </r>
  <r>
    <n v="948"/>
    <n v="35"/>
    <x v="0"/>
    <x v="2"/>
    <s v="X-Ray and Splint"/>
    <n v="500"/>
    <n v="64"/>
    <x v="1"/>
    <x v="0"/>
    <n v="5"/>
    <x v="2"/>
    <s v="Low"/>
    <s v="Yes"/>
  </r>
  <r>
    <n v="949"/>
    <n v="78"/>
    <x v="1"/>
    <x v="3"/>
    <s v="CT Scan and Medication"/>
    <n v="10000"/>
    <n v="71"/>
    <x v="0"/>
    <x v="1"/>
    <n v="2"/>
    <x v="3"/>
    <s v="High"/>
    <s v="No"/>
  </r>
  <r>
    <n v="950"/>
    <n v="53"/>
    <x v="0"/>
    <x v="4"/>
    <s v="Surgery and Chemotherapy"/>
    <n v="25000"/>
    <n v="73"/>
    <x v="1"/>
    <x v="0"/>
    <n v="4"/>
    <x v="0"/>
    <s v="High"/>
    <s v="Yes"/>
  </r>
  <r>
    <n v="951"/>
    <n v="72"/>
    <x v="1"/>
    <x v="5"/>
    <s v="Medication and Counseling"/>
    <n v="1000"/>
    <n v="67"/>
    <x v="0"/>
    <x v="1"/>
    <n v="4"/>
    <x v="1"/>
    <s v="Low"/>
    <s v="Yes"/>
  </r>
  <r>
    <n v="952"/>
    <n v="60"/>
    <x v="0"/>
    <x v="6"/>
    <s v="Appendectomy"/>
    <n v="8000"/>
    <n v="69"/>
    <x v="1"/>
    <x v="0"/>
    <n v="3"/>
    <x v="1"/>
    <s v="Medium"/>
    <s v="No"/>
  </r>
  <r>
    <n v="953"/>
    <n v="45"/>
    <x v="1"/>
    <x v="7"/>
    <s v="Cast and Physical Therapy"/>
    <n v="3000"/>
    <n v="69"/>
    <x v="0"/>
    <x v="0"/>
    <n v="4"/>
    <x v="0"/>
    <s v="Medium"/>
    <s v="Yes"/>
  </r>
  <r>
    <n v="954"/>
    <n v="75"/>
    <x v="0"/>
    <x v="8"/>
    <s v="Cardiac Catheterization"/>
    <n v="18000"/>
    <n v="71"/>
    <x v="1"/>
    <x v="1"/>
    <n v="2"/>
    <x v="3"/>
    <s v="High"/>
    <s v="No"/>
  </r>
  <r>
    <n v="955"/>
    <n v="28"/>
    <x v="1"/>
    <x v="9"/>
    <s v="Epinephrine Injection"/>
    <n v="100"/>
    <n v="64"/>
    <x v="0"/>
    <x v="0"/>
    <n v="5"/>
    <x v="4"/>
    <s v="Low"/>
    <s v="Yes"/>
  </r>
  <r>
    <n v="956"/>
    <n v="52"/>
    <x v="0"/>
    <x v="10"/>
    <s v="Antibiotics and Rest"/>
    <n v="800"/>
    <n v="65"/>
    <x v="0"/>
    <x v="1"/>
    <n v="4"/>
    <x v="0"/>
    <s v="Low"/>
    <s v="Yes"/>
  </r>
  <r>
    <n v="957"/>
    <n v="67"/>
    <x v="1"/>
    <x v="11"/>
    <s v="Radiation Therapy"/>
    <n v="20000"/>
    <n v="72"/>
    <x v="0"/>
    <x v="0"/>
    <n v="3"/>
    <x v="1"/>
    <s v="High"/>
    <s v="No"/>
  </r>
  <r>
    <n v="958"/>
    <n v="35"/>
    <x v="0"/>
    <x v="12"/>
    <s v="Delivery and Postnatal Care"/>
    <n v="12000"/>
    <n v="66"/>
    <x v="0"/>
    <x v="0"/>
    <n v="4"/>
    <x v="2"/>
    <s v="High"/>
    <s v="Yes"/>
  </r>
  <r>
    <n v="959"/>
    <n v="50"/>
    <x v="1"/>
    <x v="13"/>
    <s v="Lithotripsy"/>
    <n v="6000"/>
    <n v="67"/>
    <x v="0"/>
    <x v="0"/>
    <n v="3"/>
    <x v="0"/>
    <s v="Medium"/>
    <s v="No"/>
  </r>
  <r>
    <n v="960"/>
    <n v="60"/>
    <x v="0"/>
    <x v="14"/>
    <s v="Physical Therapy and Pain Management"/>
    <n v="4000"/>
    <n v="68"/>
    <x v="0"/>
    <x v="1"/>
    <n v="4"/>
    <x v="1"/>
    <s v="Medium"/>
    <s v="Yes"/>
  </r>
  <r>
    <n v="961"/>
    <n v="48"/>
    <x v="0"/>
    <x v="0"/>
    <s v="Angioplasty"/>
    <n v="15000"/>
    <n v="69"/>
    <x v="1"/>
    <x v="0"/>
    <n v="4"/>
    <x v="0"/>
    <s v="High"/>
    <s v="Yes"/>
  </r>
  <r>
    <n v="962"/>
    <n v="65"/>
    <x v="1"/>
    <x v="1"/>
    <s v="Insulin Therapy"/>
    <n v="2000"/>
    <n v="67"/>
    <x v="0"/>
    <x v="1"/>
    <n v="3"/>
    <x v="1"/>
    <s v="Medium"/>
    <s v="No"/>
  </r>
  <r>
    <n v="963"/>
    <n v="30"/>
    <x v="0"/>
    <x v="2"/>
    <s v="X-Ray and Splint"/>
    <n v="500"/>
    <n v="65"/>
    <x v="0"/>
    <x v="0"/>
    <n v="5"/>
    <x v="2"/>
    <s v="Low"/>
    <s v="Yes"/>
  </r>
  <r>
    <n v="964"/>
    <n v="70"/>
    <x v="1"/>
    <x v="3"/>
    <s v="CT Scan and Medication"/>
    <n v="10000"/>
    <n v="72"/>
    <x v="1"/>
    <x v="1"/>
    <n v="2"/>
    <x v="1"/>
    <s v="High"/>
    <s v="No"/>
  </r>
  <r>
    <n v="965"/>
    <n v="55"/>
    <x v="0"/>
    <x v="4"/>
    <s v="Surgery and Chemotherapy"/>
    <n v="25000"/>
    <n v="74"/>
    <x v="0"/>
    <x v="0"/>
    <n v="4"/>
    <x v="0"/>
    <s v="High"/>
    <s v="Yes"/>
  </r>
  <r>
    <n v="966"/>
    <n v="68"/>
    <x v="1"/>
    <x v="5"/>
    <s v="Medication and Counseling"/>
    <n v="1000"/>
    <n v="68"/>
    <x v="0"/>
    <x v="1"/>
    <n v="4"/>
    <x v="1"/>
    <s v="Low"/>
    <s v="Yes"/>
  </r>
  <r>
    <n v="968"/>
    <n v="40"/>
    <x v="1"/>
    <x v="7"/>
    <s v="Cast and Physical Therapy"/>
    <n v="3000"/>
    <n v="70"/>
    <x v="0"/>
    <x v="0"/>
    <n v="4"/>
    <x v="2"/>
    <s v="Medium"/>
    <s v="Yes"/>
  </r>
  <r>
    <n v="969"/>
    <n v="78"/>
    <x v="0"/>
    <x v="8"/>
    <s v="Cardiac Catheterization"/>
    <n v="18000"/>
    <n v="72"/>
    <x v="1"/>
    <x v="1"/>
    <n v="2"/>
    <x v="3"/>
    <s v="High"/>
    <s v="No"/>
  </r>
  <r>
    <n v="970"/>
    <n v="25"/>
    <x v="1"/>
    <x v="9"/>
    <s v="Epinephrine Injection"/>
    <n v="100"/>
    <n v="65"/>
    <x v="0"/>
    <x v="0"/>
    <n v="5"/>
    <x v="4"/>
    <s v="Low"/>
    <s v="Yes"/>
  </r>
  <r>
    <n v="971"/>
    <n v="52"/>
    <x v="0"/>
    <x v="10"/>
    <s v="Antibiotics and Rest"/>
    <n v="800"/>
    <n v="66"/>
    <x v="0"/>
    <x v="1"/>
    <n v="4"/>
    <x v="0"/>
    <s v="Low"/>
    <s v="Yes"/>
  </r>
  <r>
    <n v="972"/>
    <n v="58"/>
    <x v="1"/>
    <x v="11"/>
    <s v="Radiation Therapy"/>
    <n v="20000"/>
    <n v="73"/>
    <x v="0"/>
    <x v="0"/>
    <n v="3"/>
    <x v="0"/>
    <s v="High"/>
    <s v="No"/>
  </r>
  <r>
    <n v="973"/>
    <n v="32"/>
    <x v="0"/>
    <x v="12"/>
    <s v="Delivery and Postnatal Care"/>
    <n v="12000"/>
    <n v="67"/>
    <x v="0"/>
    <x v="0"/>
    <n v="4"/>
    <x v="2"/>
    <s v="High"/>
    <s v="Yes"/>
  </r>
  <r>
    <n v="974"/>
    <n v="55"/>
    <x v="1"/>
    <x v="13"/>
    <s v="Lithotripsy"/>
    <n v="6000"/>
    <n v="68"/>
    <x v="0"/>
    <x v="0"/>
    <n v="3"/>
    <x v="0"/>
    <s v="Medium"/>
    <s v="No"/>
  </r>
  <r>
    <n v="975"/>
    <n v="65"/>
    <x v="0"/>
    <x v="14"/>
    <s v="Physical Therapy and Pain Management"/>
    <n v="4000"/>
    <n v="69"/>
    <x v="0"/>
    <x v="1"/>
    <n v="4"/>
    <x v="1"/>
    <s v="Medium"/>
    <s v="Yes"/>
  </r>
  <r>
    <n v="976"/>
    <n v="55"/>
    <x v="0"/>
    <x v="0"/>
    <s v="Angioplasty"/>
    <n v="15000"/>
    <n v="70"/>
    <x v="1"/>
    <x v="0"/>
    <n v="3"/>
    <x v="0"/>
    <s v="High"/>
    <s v="No"/>
  </r>
  <r>
    <n v="977"/>
    <n v="62"/>
    <x v="1"/>
    <x v="1"/>
    <s v="Insulin Therapy"/>
    <n v="2000"/>
    <n v="68"/>
    <x v="0"/>
    <x v="1"/>
    <n v="4"/>
    <x v="1"/>
    <s v="Medium"/>
    <s v="Yes"/>
  </r>
  <r>
    <n v="978"/>
    <n v="35"/>
    <x v="0"/>
    <x v="2"/>
    <s v="X-Ray and Splint"/>
    <n v="500"/>
    <n v="66"/>
    <x v="1"/>
    <x v="0"/>
    <n v="5"/>
    <x v="2"/>
    <s v="Low"/>
    <s v="Yes"/>
  </r>
  <r>
    <n v="979"/>
    <n v="78"/>
    <x v="1"/>
    <x v="3"/>
    <s v="CT Scan and Medication"/>
    <n v="10000"/>
    <n v="73"/>
    <x v="0"/>
    <x v="1"/>
    <n v="2"/>
    <x v="3"/>
    <s v="High"/>
    <s v="No"/>
  </r>
  <r>
    <n v="980"/>
    <n v="53"/>
    <x v="0"/>
    <x v="4"/>
    <s v="Surgery and Chemotherapy"/>
    <n v="25000"/>
    <n v="75"/>
    <x v="1"/>
    <x v="0"/>
    <n v="4"/>
    <x v="0"/>
    <s v="High"/>
    <s v="Yes"/>
  </r>
  <r>
    <n v="981"/>
    <n v="72"/>
    <x v="1"/>
    <x v="5"/>
    <s v="Medication and Counseling"/>
    <n v="1000"/>
    <n v="69"/>
    <x v="0"/>
    <x v="1"/>
    <n v="4"/>
    <x v="1"/>
    <s v="Low"/>
    <s v="Yes"/>
  </r>
  <r>
    <n v="982"/>
    <n v="60"/>
    <x v="0"/>
    <x v="6"/>
    <s v="Appendectomy"/>
    <n v="8000"/>
    <n v="71"/>
    <x v="1"/>
    <x v="0"/>
    <n v="3"/>
    <x v="1"/>
    <s v="Medium"/>
    <s v="No"/>
  </r>
  <r>
    <n v="983"/>
    <n v="45"/>
    <x v="1"/>
    <x v="7"/>
    <s v="Cast and Physical Therapy"/>
    <n v="3000"/>
    <n v="71"/>
    <x v="0"/>
    <x v="0"/>
    <n v="4"/>
    <x v="0"/>
    <s v="Medium"/>
    <s v="Yes"/>
  </r>
  <r>
    <n v="984"/>
    <n v="75"/>
    <x v="0"/>
    <x v="8"/>
    <s v="Cardiac Catheterization"/>
    <n v="18000"/>
    <n v="73"/>
    <x v="1"/>
    <x v="1"/>
    <n v="2"/>
    <x v="3"/>
    <s v="High"/>
    <s v="No"/>
  </r>
  <r>
    <n v="985"/>
    <n v="28"/>
    <x v="1"/>
    <x v="9"/>
    <s v="Epinephrine Injection"/>
    <n v="100"/>
    <n v="67"/>
    <x v="0"/>
    <x v="0"/>
    <n v="5"/>
    <x v="4"/>
    <s v="Low"/>
    <s v="Yes"/>
  </r>
  <r>
    <n v="986"/>
    <n v="52"/>
    <x v="0"/>
    <x v="10"/>
    <s v="Antibiotics and Rest"/>
    <n v="800"/>
    <n v="68"/>
    <x v="0"/>
    <x v="1"/>
    <n v="4"/>
    <x v="0"/>
    <s v="Low"/>
    <s v="Yes"/>
  </r>
  <r>
    <n v="987"/>
    <n v="67"/>
    <x v="1"/>
    <x v="11"/>
    <s v="Radiation Therapy"/>
    <n v="20000"/>
    <n v="74"/>
    <x v="0"/>
    <x v="0"/>
    <n v="3"/>
    <x v="1"/>
    <s v="High"/>
    <s v="No"/>
  </r>
  <r>
    <n v="988"/>
    <n v="35"/>
    <x v="0"/>
    <x v="12"/>
    <s v="Delivery and Postnatal Care"/>
    <n v="12000"/>
    <n v="68"/>
    <x v="0"/>
    <x v="0"/>
    <n v="4"/>
    <x v="2"/>
    <s v="High"/>
    <s v="Yes"/>
  </r>
  <r>
    <n v="989"/>
    <n v="50"/>
    <x v="1"/>
    <x v="13"/>
    <s v="Lithotripsy"/>
    <n v="6000"/>
    <n v="69"/>
    <x v="0"/>
    <x v="0"/>
    <n v="3"/>
    <x v="0"/>
    <s v="Medium"/>
    <s v="No"/>
  </r>
  <r>
    <n v="990"/>
    <n v="60"/>
    <x v="0"/>
    <x v="14"/>
    <s v="Physical Therapy and Pain Management"/>
    <n v="4000"/>
    <n v="70"/>
    <x v="0"/>
    <x v="1"/>
    <n v="4"/>
    <x v="1"/>
    <s v="Medium"/>
    <s v="Yes"/>
  </r>
  <r>
    <n v="991"/>
    <n v="48"/>
    <x v="0"/>
    <x v="0"/>
    <s v="Angioplasty"/>
    <n v="15000"/>
    <n v="71"/>
    <x v="1"/>
    <x v="0"/>
    <n v="4"/>
    <x v="0"/>
    <s v="High"/>
    <s v="Yes"/>
  </r>
  <r>
    <n v="992"/>
    <n v="65"/>
    <x v="1"/>
    <x v="1"/>
    <s v="Insulin Therapy"/>
    <n v="2000"/>
    <n v="69"/>
    <x v="0"/>
    <x v="1"/>
    <n v="3"/>
    <x v="1"/>
    <s v="Medium"/>
    <s v="No"/>
  </r>
  <r>
    <n v="993"/>
    <n v="30"/>
    <x v="0"/>
    <x v="2"/>
    <s v="X-Ray and Splint"/>
    <n v="500"/>
    <n v="67"/>
    <x v="0"/>
    <x v="0"/>
    <n v="5"/>
    <x v="2"/>
    <s v="Low"/>
    <s v="Yes"/>
  </r>
  <r>
    <n v="994"/>
    <n v="70"/>
    <x v="1"/>
    <x v="3"/>
    <s v="CT Scan and Medication"/>
    <n v="10000"/>
    <n v="74"/>
    <x v="1"/>
    <x v="1"/>
    <n v="2"/>
    <x v="1"/>
    <s v="High"/>
    <s v="No"/>
  </r>
  <r>
    <n v="995"/>
    <n v="55"/>
    <x v="0"/>
    <x v="4"/>
    <s v="Surgery and Chemotherapy"/>
    <n v="25000"/>
    <n v="76"/>
    <x v="0"/>
    <x v="0"/>
    <n v="4"/>
    <x v="0"/>
    <s v="High"/>
    <s v="Yes"/>
  </r>
  <r>
    <n v="996"/>
    <n v="68"/>
    <x v="1"/>
    <x v="5"/>
    <s v="Medication and Counseling"/>
    <n v="1000"/>
    <n v="70"/>
    <x v="0"/>
    <x v="1"/>
    <n v="4"/>
    <x v="1"/>
    <s v="Low"/>
    <s v="Yes"/>
  </r>
  <r>
    <n v="997"/>
    <n v="45"/>
    <x v="0"/>
    <x v="6"/>
    <s v="Appendectomy"/>
    <n v="8000"/>
    <n v="72"/>
    <x v="0"/>
    <x v="0"/>
    <n v="3"/>
    <x v="0"/>
    <s v="Medium"/>
    <s v="No"/>
  </r>
  <r>
    <n v="998"/>
    <n v="40"/>
    <x v="1"/>
    <x v="7"/>
    <s v="Cast and Physical Therapy"/>
    <n v="3000"/>
    <n v="72"/>
    <x v="0"/>
    <x v="0"/>
    <n v="4"/>
    <x v="2"/>
    <s v="Medium"/>
    <s v="Yes"/>
  </r>
  <r>
    <n v="999"/>
    <n v="78"/>
    <x v="0"/>
    <x v="8"/>
    <s v="Cardiac Catheterization"/>
    <n v="18000"/>
    <n v="74"/>
    <x v="1"/>
    <x v="1"/>
    <n v="2"/>
    <x v="3"/>
    <s v="High"/>
    <s v="No"/>
  </r>
  <r>
    <n v="1000"/>
    <n v="25"/>
    <x v="1"/>
    <x v="9"/>
    <s v="Epinephrine Injection"/>
    <n v="100"/>
    <n v="68"/>
    <x v="0"/>
    <x v="0"/>
    <n v="5"/>
    <x v="4"/>
    <s v="Low"/>
    <s v="Yes"/>
  </r>
</pivotCacheRecords>
</file>

<file path=xl/pivotCache/pivotCacheRecords2.xml><?xml version="1.0" encoding="utf-8"?>
<pivotCacheRecords xmlns="http://schemas.openxmlformats.org/spreadsheetml/2006/main" xmlns:r="http://schemas.openxmlformats.org/officeDocument/2006/relationships" count="984">
  <r>
    <n v="1"/>
    <n v="45"/>
    <s v="Female"/>
    <s v="Heart Disease"/>
    <s v="Angioplasty"/>
    <n v="15000"/>
    <n v="5"/>
    <s v="No"/>
    <s v="Recovered"/>
    <n v="4"/>
    <x v="0"/>
    <s v="High"/>
    <s v="Yes"/>
  </r>
  <r>
    <n v="2"/>
    <n v="60"/>
    <s v="Male"/>
    <s v="Diabetes"/>
    <s v="Insulin Therapy"/>
    <n v="2000"/>
    <n v="3"/>
    <s v="Yes"/>
    <s v="Stable"/>
    <n v="3"/>
    <x v="1"/>
    <s v="Medium"/>
    <s v="No"/>
  </r>
  <r>
    <n v="3"/>
    <n v="32"/>
    <s v="Female"/>
    <s v="Fractured Arm"/>
    <s v="X-Ray and Splint"/>
    <n v="500"/>
    <n v="1"/>
    <s v="No"/>
    <s v="Recovered"/>
    <n v="5"/>
    <x v="2"/>
    <s v="Low"/>
    <s v="Yes"/>
  </r>
  <r>
    <n v="4"/>
    <n v="75"/>
    <s v="Male"/>
    <s v="Stroke"/>
    <s v="CT Scan and Medication"/>
    <n v="10000"/>
    <n v="7"/>
    <s v="Yes"/>
    <s v="Stable"/>
    <n v="2"/>
    <x v="3"/>
    <s v="High"/>
    <s v="No"/>
  </r>
  <r>
    <n v="5"/>
    <n v="50"/>
    <s v="Female"/>
    <s v="Cancer"/>
    <s v="Surgery and Chemotherapy"/>
    <n v="25000"/>
    <n v="10"/>
    <s v="No"/>
    <s v="Recovered"/>
    <n v="4"/>
    <x v="0"/>
    <s v="High"/>
    <s v="Yes"/>
  </r>
  <r>
    <n v="6"/>
    <n v="68"/>
    <s v="Male"/>
    <s v="Hypertension"/>
    <s v="Medication and Counseling"/>
    <n v="1000"/>
    <n v="2"/>
    <s v="No"/>
    <s v="Stable"/>
    <n v="4"/>
    <x v="1"/>
    <s v="Low"/>
    <s v="Yes"/>
  </r>
  <r>
    <n v="7"/>
    <n v="55"/>
    <s v="Female"/>
    <s v="Appendicitis"/>
    <s v="Appendectomy"/>
    <n v="8000"/>
    <n v="4"/>
    <s v="No"/>
    <s v="Recovered"/>
    <n v="3"/>
    <x v="0"/>
    <s v="Medium"/>
    <s v="No"/>
  </r>
  <r>
    <n v="8"/>
    <n v="40"/>
    <s v="Male"/>
    <s v="Fractured Leg"/>
    <s v="Cast and Physical Therapy"/>
    <n v="3000"/>
    <n v="6"/>
    <s v="No"/>
    <s v="Recovered"/>
    <n v="4"/>
    <x v="2"/>
    <s v="Medium"/>
    <s v="Yes"/>
  </r>
  <r>
    <n v="9"/>
    <n v="70"/>
    <s v="Female"/>
    <s v="Heart Attack"/>
    <s v="Cardiac Catheterization"/>
    <n v="18000"/>
    <n v="8"/>
    <s v="Yes"/>
    <s v="Stable"/>
    <n v="2"/>
    <x v="1"/>
    <s v="High"/>
    <s v="No"/>
  </r>
  <r>
    <n v="10"/>
    <n v="25"/>
    <s v="Male"/>
    <s v="Allergic Reaction"/>
    <s v="Epinephrine Injection"/>
    <n v="100"/>
    <n v="1"/>
    <s v="No"/>
    <s v="Recovered"/>
    <n v="5"/>
    <x v="4"/>
    <s v="Low"/>
    <s v="Yes"/>
  </r>
  <r>
    <n v="11"/>
    <n v="48"/>
    <s v="Female"/>
    <s v="Respiratory Infection"/>
    <s v="Antibiotics and Rest"/>
    <n v="800"/>
    <n v="2"/>
    <s v="No"/>
    <s v="Stable"/>
    <n v="4"/>
    <x v="0"/>
    <s v="Low"/>
    <s v="Yes"/>
  </r>
  <r>
    <n v="12"/>
    <n v="65"/>
    <s v="Male"/>
    <s v="Prostate Cancer"/>
    <s v="Radiation Therapy"/>
    <n v="20000"/>
    <n v="9"/>
    <s v="No"/>
    <s v="Recovered"/>
    <n v="3"/>
    <x v="1"/>
    <s v="High"/>
    <s v="No"/>
  </r>
  <r>
    <n v="13"/>
    <n v="30"/>
    <s v="Female"/>
    <s v="Childbirth"/>
    <s v="Delivery and Postnatal Care"/>
    <n v="12000"/>
    <n v="3"/>
    <s v="No"/>
    <s v="Recovered"/>
    <n v="4"/>
    <x v="2"/>
    <s v="High"/>
    <s v="Yes"/>
  </r>
  <r>
    <n v="14"/>
    <n v="52"/>
    <s v="Male"/>
    <s v="Kidney Stones"/>
    <s v="Lithotripsy"/>
    <n v="6000"/>
    <n v="4"/>
    <s v="No"/>
    <s v="Recovered"/>
    <n v="3"/>
    <x v="0"/>
    <s v="Medium"/>
    <s v="No"/>
  </r>
  <r>
    <n v="15"/>
    <n v="58"/>
    <s v="Female"/>
    <s v="Osteoarthritis"/>
    <s v="Physical Therapy and Pain Management"/>
    <n v="4000"/>
    <n v="5"/>
    <s v="No"/>
    <s v="Stable"/>
    <n v="4"/>
    <x v="0"/>
    <s v="Medium"/>
    <s v="Yes"/>
  </r>
  <r>
    <n v="16"/>
    <n v="55"/>
    <s v="Female"/>
    <s v="Heart Disease"/>
    <s v="Angioplasty"/>
    <n v="15000"/>
    <n v="6"/>
    <s v="Yes"/>
    <s v="Recovered"/>
    <n v="3"/>
    <x v="0"/>
    <s v="High"/>
    <s v="No"/>
  </r>
  <r>
    <n v="17"/>
    <n v="62"/>
    <s v="Male"/>
    <s v="Diabetes"/>
    <s v="Insulin Therapy"/>
    <n v="2000"/>
    <n v="4"/>
    <s v="No"/>
    <s v="Stable"/>
    <n v="4"/>
    <x v="1"/>
    <s v="Medium"/>
    <s v="Yes"/>
  </r>
  <r>
    <n v="18"/>
    <n v="35"/>
    <s v="Female"/>
    <s v="Fractured Arm"/>
    <s v="X-Ray and Splint"/>
    <n v="500"/>
    <n v="2"/>
    <s v="Yes"/>
    <s v="Recovered"/>
    <n v="5"/>
    <x v="2"/>
    <s v="Low"/>
    <s v="Yes"/>
  </r>
  <r>
    <n v="19"/>
    <n v="78"/>
    <s v="Male"/>
    <s v="Stroke"/>
    <s v="CT Scan and Medication"/>
    <n v="10000"/>
    <n v="8"/>
    <s v="No"/>
    <s v="Stable"/>
    <n v="2"/>
    <x v="3"/>
    <s v="High"/>
    <s v="No"/>
  </r>
  <r>
    <n v="20"/>
    <n v="53"/>
    <s v="Female"/>
    <s v="Cancer"/>
    <s v="Surgery and Chemotherapy"/>
    <n v="25000"/>
    <n v="11"/>
    <s v="Yes"/>
    <s v="Recovered"/>
    <n v="4"/>
    <x v="0"/>
    <s v="High"/>
    <s v="Yes"/>
  </r>
  <r>
    <n v="21"/>
    <n v="72"/>
    <s v="Male"/>
    <s v="Hypertension"/>
    <s v="Medication and Counseling"/>
    <n v="1000"/>
    <n v="3"/>
    <s v="No"/>
    <s v="Stable"/>
    <n v="4"/>
    <x v="1"/>
    <s v="Low"/>
    <s v="Yes"/>
  </r>
  <r>
    <n v="22"/>
    <n v="60"/>
    <s v="Female"/>
    <s v="Appendicitis"/>
    <s v="Appendectomy"/>
    <n v="8000"/>
    <n v="5"/>
    <s v="Yes"/>
    <s v="Recovered"/>
    <n v="3"/>
    <x v="1"/>
    <s v="Medium"/>
    <s v="No"/>
  </r>
  <r>
    <n v="23"/>
    <n v="45"/>
    <s v="Male"/>
    <s v="Fractured Leg"/>
    <s v="Cast and Physical Therapy"/>
    <n v="3000"/>
    <n v="7"/>
    <s v="No"/>
    <s v="Recovered"/>
    <n v="4"/>
    <x v="0"/>
    <s v="Medium"/>
    <s v="Yes"/>
  </r>
  <r>
    <n v="24"/>
    <n v="75"/>
    <s v="Female"/>
    <s v="Heart Attack"/>
    <s v="Cardiac Catheterization"/>
    <n v="18000"/>
    <n v="9"/>
    <s v="Yes"/>
    <s v="Stable"/>
    <n v="2"/>
    <x v="3"/>
    <s v="High"/>
    <s v="No"/>
  </r>
  <r>
    <n v="25"/>
    <n v="28"/>
    <s v="Male"/>
    <s v="Allergic Reaction"/>
    <s v="Epinephrine Injection"/>
    <n v="100"/>
    <n v="2"/>
    <s v="No"/>
    <s v="Recovered"/>
    <n v="5"/>
    <x v="4"/>
    <s v="Low"/>
    <s v="Yes"/>
  </r>
  <r>
    <n v="26"/>
    <n v="52"/>
    <s v="Female"/>
    <s v="Respiratory Infection"/>
    <s v="Antibiotics and Rest"/>
    <n v="800"/>
    <n v="3"/>
    <s v="No"/>
    <s v="Stable"/>
    <n v="4"/>
    <x v="0"/>
    <s v="Low"/>
    <s v="Yes"/>
  </r>
  <r>
    <n v="27"/>
    <n v="67"/>
    <s v="Male"/>
    <s v="Prostate Cancer"/>
    <s v="Radiation Therapy"/>
    <n v="20000"/>
    <n v="10"/>
    <s v="No"/>
    <s v="Recovered"/>
    <n v="3"/>
    <x v="1"/>
    <s v="High"/>
    <s v="No"/>
  </r>
  <r>
    <n v="28"/>
    <n v="35"/>
    <s v="Female"/>
    <s v="Childbirth"/>
    <s v="Delivery and Postnatal Care"/>
    <n v="12000"/>
    <n v="4"/>
    <s v="No"/>
    <s v="Recovered"/>
    <n v="4"/>
    <x v="2"/>
    <s v="High"/>
    <s v="Yes"/>
  </r>
  <r>
    <n v="29"/>
    <n v="50"/>
    <s v="Male"/>
    <s v="Kidney Stones"/>
    <s v="Lithotripsy"/>
    <n v="6000"/>
    <n v="5"/>
    <s v="No"/>
    <s v="Recovered"/>
    <n v="3"/>
    <x v="0"/>
    <s v="Medium"/>
    <s v="No"/>
  </r>
  <r>
    <n v="30"/>
    <n v="60"/>
    <s v="Female"/>
    <s v="Osteoarthritis"/>
    <s v="Physical Therapy and Pain Management"/>
    <n v="4000"/>
    <n v="6"/>
    <s v="No"/>
    <s v="Stable"/>
    <n v="4"/>
    <x v="1"/>
    <s v="Medium"/>
    <s v="Yes"/>
  </r>
  <r>
    <n v="31"/>
    <n v="48"/>
    <s v="Female"/>
    <s v="Heart Disease"/>
    <s v="Angioplasty"/>
    <n v="15000"/>
    <n v="7"/>
    <s v="Yes"/>
    <s v="Recovered"/>
    <n v="4"/>
    <x v="0"/>
    <s v="High"/>
    <s v="Yes"/>
  </r>
  <r>
    <n v="32"/>
    <n v="65"/>
    <s v="Male"/>
    <s v="Diabetes"/>
    <s v="Insulin Therapy"/>
    <n v="2000"/>
    <n v="5"/>
    <s v="No"/>
    <s v="Stable"/>
    <n v="3"/>
    <x v="1"/>
    <s v="Medium"/>
    <s v="No"/>
  </r>
  <r>
    <n v="33"/>
    <n v="30"/>
    <s v="Female"/>
    <s v="Fractured Arm"/>
    <s v="X-Ray and Splint"/>
    <n v="500"/>
    <n v="3"/>
    <s v="No"/>
    <s v="Recovered"/>
    <n v="5"/>
    <x v="2"/>
    <s v="Low"/>
    <s v="Yes"/>
  </r>
  <r>
    <n v="34"/>
    <n v="70"/>
    <s v="Male"/>
    <s v="Stroke"/>
    <s v="CT Scan and Medication"/>
    <n v="10000"/>
    <n v="9"/>
    <s v="Yes"/>
    <s v="Stable"/>
    <n v="2"/>
    <x v="1"/>
    <s v="High"/>
    <s v="No"/>
  </r>
  <r>
    <n v="35"/>
    <n v="55"/>
    <s v="Female"/>
    <s v="Cancer"/>
    <s v="Surgery and Chemotherapy"/>
    <n v="25000"/>
    <n v="12"/>
    <s v="No"/>
    <s v="Recovered"/>
    <n v="4"/>
    <x v="0"/>
    <s v="High"/>
    <s v="Yes"/>
  </r>
  <r>
    <n v="36"/>
    <n v="68"/>
    <s v="Male"/>
    <s v="Hypertension"/>
    <s v="Medication and Counseling"/>
    <n v="1000"/>
    <n v="4"/>
    <s v="No"/>
    <s v="Stable"/>
    <n v="4"/>
    <x v="1"/>
    <s v="Low"/>
    <s v="Yes"/>
  </r>
  <r>
    <n v="37"/>
    <n v="45"/>
    <s v="Female"/>
    <s v="Appendicitis"/>
    <s v="Appendectomy"/>
    <n v="8000"/>
    <n v="6"/>
    <s v="No"/>
    <s v="Recovered"/>
    <n v="3"/>
    <x v="0"/>
    <s v="Medium"/>
    <s v="No"/>
  </r>
  <r>
    <n v="38"/>
    <n v="40"/>
    <s v="Male"/>
    <s v="Fractured Leg"/>
    <s v="Cast and Physical Therapy"/>
    <n v="3000"/>
    <n v="8"/>
    <s v="No"/>
    <s v="Recovered"/>
    <n v="4"/>
    <x v="2"/>
    <s v="Medium"/>
    <s v="Yes"/>
  </r>
  <r>
    <n v="39"/>
    <n v="78"/>
    <s v="Female"/>
    <s v="Heart Attack"/>
    <s v="Cardiac Catheterization"/>
    <n v="18000"/>
    <n v="10"/>
    <s v="Yes"/>
    <s v="Stable"/>
    <n v="2"/>
    <x v="3"/>
    <s v="High"/>
    <s v="No"/>
  </r>
  <r>
    <n v="40"/>
    <n v="25"/>
    <s v="Male"/>
    <s v="Allergic Reaction"/>
    <s v="Epinephrine Injection"/>
    <n v="100"/>
    <n v="3"/>
    <s v="No"/>
    <s v="Recovered"/>
    <n v="5"/>
    <x v="4"/>
    <s v="Low"/>
    <s v="Yes"/>
  </r>
  <r>
    <n v="41"/>
    <n v="52"/>
    <s v="Female"/>
    <s v="Respiratory Infection"/>
    <s v="Antibiotics and Rest"/>
    <n v="800"/>
    <n v="4"/>
    <s v="No"/>
    <s v="Stable"/>
    <n v="4"/>
    <x v="0"/>
    <s v="Low"/>
    <s v="Yes"/>
  </r>
  <r>
    <n v="42"/>
    <n v="58"/>
    <s v="Male"/>
    <s v="Prostate Cancer"/>
    <s v="Radiation Therapy"/>
    <n v="20000"/>
    <n v="11"/>
    <s v="No"/>
    <s v="Recovered"/>
    <n v="3"/>
    <x v="0"/>
    <s v="High"/>
    <s v="No"/>
  </r>
  <r>
    <n v="43"/>
    <n v="32"/>
    <s v="Female"/>
    <s v="Childbirth"/>
    <s v="Delivery and Postnatal Care"/>
    <n v="12000"/>
    <n v="5"/>
    <s v="No"/>
    <s v="Recovered"/>
    <n v="4"/>
    <x v="2"/>
    <s v="High"/>
    <s v="Yes"/>
  </r>
  <r>
    <n v="44"/>
    <n v="55"/>
    <s v="Male"/>
    <s v="Kidney Stones"/>
    <s v="Lithotripsy"/>
    <n v="6000"/>
    <n v="6"/>
    <s v="No"/>
    <s v="Recovered"/>
    <n v="3"/>
    <x v="0"/>
    <s v="Medium"/>
    <s v="No"/>
  </r>
  <r>
    <n v="45"/>
    <n v="65"/>
    <s v="Female"/>
    <s v="Osteoarthritis"/>
    <s v="Physical Therapy and Pain Management"/>
    <n v="4000"/>
    <n v="7"/>
    <s v="No"/>
    <s v="Stable"/>
    <n v="4"/>
    <x v="1"/>
    <s v="Medium"/>
    <s v="Yes"/>
  </r>
  <r>
    <n v="46"/>
    <n v="55"/>
    <s v="Female"/>
    <s v="Heart Disease"/>
    <s v="Angioplasty"/>
    <n v="15000"/>
    <n v="8"/>
    <s v="Yes"/>
    <s v="Recovered"/>
    <n v="3"/>
    <x v="0"/>
    <s v="High"/>
    <s v="No"/>
  </r>
  <r>
    <n v="47"/>
    <n v="62"/>
    <s v="Male"/>
    <s v="Diabetes"/>
    <s v="Insulin Therapy"/>
    <n v="2000"/>
    <n v="6"/>
    <s v="No"/>
    <s v="Stable"/>
    <n v="4"/>
    <x v="1"/>
    <s v="Medium"/>
    <s v="Yes"/>
  </r>
  <r>
    <n v="48"/>
    <n v="35"/>
    <s v="Female"/>
    <s v="Fractured Arm"/>
    <s v="X-Ray and Splint"/>
    <n v="500"/>
    <n v="4"/>
    <s v="Yes"/>
    <s v="Recovered"/>
    <n v="5"/>
    <x v="2"/>
    <s v="Low"/>
    <s v="Yes"/>
  </r>
  <r>
    <n v="49"/>
    <n v="78"/>
    <s v="Male"/>
    <s v="Stroke"/>
    <s v="CT Scan and Medication"/>
    <n v="10000"/>
    <n v="10"/>
    <s v="No"/>
    <s v="Stable"/>
    <n v="2"/>
    <x v="3"/>
    <s v="High"/>
    <s v="No"/>
  </r>
  <r>
    <n v="50"/>
    <n v="53"/>
    <s v="Female"/>
    <s v="Cancer"/>
    <s v="Surgery and Chemotherapy"/>
    <n v="25000"/>
    <n v="13"/>
    <s v="Yes"/>
    <s v="Recovered"/>
    <n v="4"/>
    <x v="0"/>
    <s v="High"/>
    <s v="Yes"/>
  </r>
  <r>
    <n v="51"/>
    <n v="72"/>
    <s v="Male"/>
    <s v="Hypertension"/>
    <s v="Medication and Counseling"/>
    <n v="1000"/>
    <n v="5"/>
    <s v="No"/>
    <s v="Stable"/>
    <n v="4"/>
    <x v="1"/>
    <s v="Low"/>
    <s v="Yes"/>
  </r>
  <r>
    <n v="52"/>
    <n v="60"/>
    <s v="Female"/>
    <s v="Appendicitis"/>
    <s v="Appendectomy"/>
    <n v="8000"/>
    <n v="7"/>
    <s v="Yes"/>
    <s v="Recovered"/>
    <n v="3"/>
    <x v="1"/>
    <s v="Medium"/>
    <s v="No"/>
  </r>
  <r>
    <n v="53"/>
    <n v="45"/>
    <s v="Male"/>
    <s v="Fractured Leg"/>
    <s v="Cast and Physical Therapy"/>
    <n v="3000"/>
    <n v="9"/>
    <s v="No"/>
    <s v="Recovered"/>
    <n v="4"/>
    <x v="0"/>
    <s v="Medium"/>
    <s v="Yes"/>
  </r>
  <r>
    <n v="54"/>
    <n v="75"/>
    <s v="Female"/>
    <s v="Heart Attack"/>
    <s v="Cardiac Catheterization"/>
    <n v="18000"/>
    <n v="11"/>
    <s v="Yes"/>
    <s v="Stable"/>
    <n v="2"/>
    <x v="3"/>
    <s v="High"/>
    <s v="No"/>
  </r>
  <r>
    <n v="55"/>
    <n v="28"/>
    <s v="Male"/>
    <s v="Allergic Reaction"/>
    <s v="Epinephrine Injection"/>
    <n v="100"/>
    <n v="4"/>
    <s v="No"/>
    <s v="Recovered"/>
    <n v="5"/>
    <x v="4"/>
    <s v="Low"/>
    <s v="Yes"/>
  </r>
  <r>
    <n v="56"/>
    <n v="52"/>
    <s v="Female"/>
    <s v="Respiratory Infection"/>
    <s v="Antibiotics and Rest"/>
    <n v="800"/>
    <n v="5"/>
    <s v="No"/>
    <s v="Stable"/>
    <n v="4"/>
    <x v="0"/>
    <s v="Low"/>
    <s v="Yes"/>
  </r>
  <r>
    <n v="57"/>
    <n v="67"/>
    <s v="Male"/>
    <s v="Prostate Cancer"/>
    <s v="Radiation Therapy"/>
    <n v="20000"/>
    <n v="12"/>
    <s v="No"/>
    <s v="Recovered"/>
    <n v="3"/>
    <x v="1"/>
    <s v="High"/>
    <s v="No"/>
  </r>
  <r>
    <n v="58"/>
    <n v="35"/>
    <s v="Female"/>
    <s v="Childbirth"/>
    <s v="Delivery and Postnatal Care"/>
    <n v="12000"/>
    <n v="6"/>
    <s v="No"/>
    <s v="Recovered"/>
    <n v="4"/>
    <x v="2"/>
    <s v="High"/>
    <s v="Yes"/>
  </r>
  <r>
    <n v="59"/>
    <n v="50"/>
    <s v="Male"/>
    <s v="Kidney Stones"/>
    <s v="Lithotripsy"/>
    <n v="6000"/>
    <n v="7"/>
    <s v="No"/>
    <s v="Recovered"/>
    <n v="3"/>
    <x v="0"/>
    <s v="Medium"/>
    <s v="No"/>
  </r>
  <r>
    <n v="61"/>
    <n v="48"/>
    <s v="Female"/>
    <s v="Heart Disease"/>
    <s v="Angioplasty"/>
    <n v="15000"/>
    <n v="9"/>
    <s v="Yes"/>
    <s v="Recovered"/>
    <n v="4"/>
    <x v="0"/>
    <s v="High"/>
    <s v="Yes"/>
  </r>
  <r>
    <n v="62"/>
    <n v="65"/>
    <s v="Male"/>
    <s v="Diabetes"/>
    <s v="Insulin Therapy"/>
    <n v="2000"/>
    <n v="7"/>
    <s v="No"/>
    <s v="Stable"/>
    <n v="3"/>
    <x v="1"/>
    <s v="Medium"/>
    <s v="No"/>
  </r>
  <r>
    <n v="63"/>
    <n v="30"/>
    <s v="Female"/>
    <s v="Fractured Arm"/>
    <s v="X-Ray and Splint"/>
    <n v="500"/>
    <n v="5"/>
    <s v="No"/>
    <s v="Recovered"/>
    <n v="5"/>
    <x v="2"/>
    <s v="Low"/>
    <s v="Yes"/>
  </r>
  <r>
    <n v="64"/>
    <n v="70"/>
    <s v="Male"/>
    <s v="Stroke"/>
    <s v="CT Scan and Medication"/>
    <n v="10000"/>
    <n v="11"/>
    <s v="Yes"/>
    <s v="Stable"/>
    <n v="2"/>
    <x v="1"/>
    <s v="High"/>
    <s v="No"/>
  </r>
  <r>
    <n v="65"/>
    <n v="55"/>
    <s v="Female"/>
    <s v="Cancer"/>
    <s v="Surgery and Chemotherapy"/>
    <n v="25000"/>
    <n v="14"/>
    <s v="No"/>
    <s v="Recovered"/>
    <n v="4"/>
    <x v="0"/>
    <s v="High"/>
    <s v="Yes"/>
  </r>
  <r>
    <n v="66"/>
    <n v="68"/>
    <s v="Male"/>
    <s v="Hypertension"/>
    <s v="Medication and Counseling"/>
    <n v="1000"/>
    <n v="6"/>
    <s v="No"/>
    <s v="Stable"/>
    <n v="4"/>
    <x v="1"/>
    <s v="Low"/>
    <s v="Yes"/>
  </r>
  <r>
    <n v="67"/>
    <n v="45"/>
    <s v="Female"/>
    <s v="Appendicitis"/>
    <s v="Appendectomy"/>
    <n v="8000"/>
    <n v="8"/>
    <s v="No"/>
    <s v="Recovered"/>
    <n v="3"/>
    <x v="0"/>
    <s v="Medium"/>
    <s v="No"/>
  </r>
  <r>
    <n v="68"/>
    <n v="40"/>
    <s v="Male"/>
    <s v="Fractured Leg"/>
    <s v="Cast and Physical Therapy"/>
    <n v="3000"/>
    <n v="10"/>
    <s v="No"/>
    <s v="Recovered"/>
    <n v="4"/>
    <x v="2"/>
    <s v="Medium"/>
    <s v="Yes"/>
  </r>
  <r>
    <n v="69"/>
    <n v="78"/>
    <s v="Female"/>
    <s v="Heart Attack"/>
    <s v="Cardiac Catheterization"/>
    <n v="18000"/>
    <n v="12"/>
    <s v="Yes"/>
    <s v="Stable"/>
    <n v="2"/>
    <x v="3"/>
    <s v="High"/>
    <s v="No"/>
  </r>
  <r>
    <n v="70"/>
    <n v="25"/>
    <s v="Male"/>
    <s v="Allergic Reaction"/>
    <s v="Epinephrine Injection"/>
    <n v="100"/>
    <n v="5"/>
    <s v="No"/>
    <s v="Recovered"/>
    <n v="5"/>
    <x v="4"/>
    <s v="Low"/>
    <s v="Yes"/>
  </r>
  <r>
    <n v="71"/>
    <n v="52"/>
    <s v="Female"/>
    <s v="Respiratory Infection"/>
    <s v="Antibiotics and Rest"/>
    <n v="800"/>
    <n v="6"/>
    <s v="No"/>
    <s v="Stable"/>
    <n v="4"/>
    <x v="0"/>
    <s v="Low"/>
    <s v="Yes"/>
  </r>
  <r>
    <n v="72"/>
    <n v="58"/>
    <s v="Male"/>
    <s v="Prostate Cancer"/>
    <s v="Radiation Therapy"/>
    <n v="20000"/>
    <n v="13"/>
    <s v="No"/>
    <s v="Recovered"/>
    <n v="3"/>
    <x v="0"/>
    <s v="High"/>
    <s v="No"/>
  </r>
  <r>
    <n v="73"/>
    <n v="32"/>
    <s v="Female"/>
    <s v="Childbirth"/>
    <s v="Delivery and Postnatal Care"/>
    <n v="12000"/>
    <n v="7"/>
    <s v="No"/>
    <s v="Recovered"/>
    <n v="4"/>
    <x v="2"/>
    <s v="High"/>
    <s v="Yes"/>
  </r>
  <r>
    <n v="74"/>
    <n v="55"/>
    <s v="Male"/>
    <s v="Kidney Stones"/>
    <s v="Lithotripsy"/>
    <n v="6000"/>
    <n v="8"/>
    <s v="No"/>
    <s v="Recovered"/>
    <n v="3"/>
    <x v="0"/>
    <s v="Medium"/>
    <s v="No"/>
  </r>
  <r>
    <n v="75"/>
    <n v="65"/>
    <s v="Female"/>
    <s v="Osteoarthritis"/>
    <s v="Physical Therapy and Pain Management"/>
    <n v="4000"/>
    <n v="9"/>
    <s v="No"/>
    <s v="Stable"/>
    <n v="4"/>
    <x v="1"/>
    <s v="Medium"/>
    <s v="Yes"/>
  </r>
  <r>
    <n v="76"/>
    <n v="55"/>
    <s v="Female"/>
    <s v="Heart Disease"/>
    <s v="Angioplasty"/>
    <n v="15000"/>
    <n v="10"/>
    <s v="Yes"/>
    <s v="Recovered"/>
    <n v="3"/>
    <x v="0"/>
    <s v="High"/>
    <s v="No"/>
  </r>
  <r>
    <n v="77"/>
    <n v="62"/>
    <s v="Male"/>
    <s v="Diabetes"/>
    <s v="Insulin Therapy"/>
    <n v="2000"/>
    <n v="8"/>
    <s v="No"/>
    <s v="Stable"/>
    <n v="4"/>
    <x v="1"/>
    <s v="Medium"/>
    <s v="Yes"/>
  </r>
  <r>
    <n v="78"/>
    <n v="35"/>
    <s v="Female"/>
    <s v="Fractured Arm"/>
    <s v="X-Ray and Splint"/>
    <n v="500"/>
    <n v="6"/>
    <s v="Yes"/>
    <s v="Recovered"/>
    <n v="5"/>
    <x v="2"/>
    <s v="Low"/>
    <s v="Yes"/>
  </r>
  <r>
    <n v="79"/>
    <n v="78"/>
    <s v="Male"/>
    <s v="Stroke"/>
    <s v="CT Scan and Medication"/>
    <n v="10000"/>
    <n v="12"/>
    <s v="No"/>
    <s v="Stable"/>
    <n v="2"/>
    <x v="3"/>
    <s v="High"/>
    <s v="No"/>
  </r>
  <r>
    <n v="80"/>
    <n v="53"/>
    <s v="Female"/>
    <s v="Cancer"/>
    <s v="Surgery and Chemotherapy"/>
    <n v="25000"/>
    <n v="15"/>
    <s v="Yes"/>
    <s v="Recovered"/>
    <n v="4"/>
    <x v="0"/>
    <s v="High"/>
    <s v="Yes"/>
  </r>
  <r>
    <n v="81"/>
    <n v="72"/>
    <s v="Male"/>
    <s v="Hypertension"/>
    <s v="Medication and Counseling"/>
    <n v="1000"/>
    <n v="7"/>
    <s v="No"/>
    <s v="Stable"/>
    <n v="4"/>
    <x v="1"/>
    <s v="Low"/>
    <s v="Yes"/>
  </r>
  <r>
    <n v="82"/>
    <n v="60"/>
    <s v="Female"/>
    <s v="Appendicitis"/>
    <s v="Appendectomy"/>
    <n v="8000"/>
    <n v="9"/>
    <s v="Yes"/>
    <s v="Recovered"/>
    <n v="3"/>
    <x v="1"/>
    <s v="Medium"/>
    <s v="No"/>
  </r>
  <r>
    <n v="83"/>
    <n v="45"/>
    <s v="Male"/>
    <s v="Fractured Leg"/>
    <s v="Cast and Physical Therapy"/>
    <n v="3000"/>
    <n v="11"/>
    <s v="No"/>
    <s v="Recovered"/>
    <n v="4"/>
    <x v="0"/>
    <s v="Medium"/>
    <s v="Yes"/>
  </r>
  <r>
    <n v="84"/>
    <n v="75"/>
    <s v="Female"/>
    <s v="Heart Attack"/>
    <s v="Cardiac Catheterization"/>
    <n v="18000"/>
    <n v="13"/>
    <s v="Yes"/>
    <s v="Stable"/>
    <n v="2"/>
    <x v="3"/>
    <s v="High"/>
    <s v="No"/>
  </r>
  <r>
    <n v="85"/>
    <n v="28"/>
    <s v="Male"/>
    <s v="Allergic Reaction"/>
    <s v="Epinephrine Injection"/>
    <n v="100"/>
    <n v="6"/>
    <s v="No"/>
    <s v="Recovered"/>
    <n v="5"/>
    <x v="4"/>
    <s v="Low"/>
    <s v="Yes"/>
  </r>
  <r>
    <n v="86"/>
    <n v="52"/>
    <s v="Female"/>
    <s v="Respiratory Infection"/>
    <s v="Antibiotics and Rest"/>
    <n v="800"/>
    <n v="7"/>
    <s v="No"/>
    <s v="Stable"/>
    <n v="4"/>
    <x v="0"/>
    <s v="Low"/>
    <s v="Yes"/>
  </r>
  <r>
    <n v="87"/>
    <n v="67"/>
    <s v="Male"/>
    <s v="Prostate Cancer"/>
    <s v="Radiation Therapy"/>
    <n v="20000"/>
    <n v="14"/>
    <s v="No"/>
    <s v="Recovered"/>
    <n v="3"/>
    <x v="1"/>
    <s v="High"/>
    <s v="No"/>
  </r>
  <r>
    <n v="88"/>
    <n v="35"/>
    <s v="Female"/>
    <s v="Childbirth"/>
    <s v="Delivery and Postnatal Care"/>
    <n v="12000"/>
    <n v="8"/>
    <s v="No"/>
    <s v="Recovered"/>
    <n v="4"/>
    <x v="2"/>
    <s v="High"/>
    <s v="Yes"/>
  </r>
  <r>
    <n v="89"/>
    <n v="50"/>
    <s v="Male"/>
    <s v="Kidney Stones"/>
    <s v="Lithotripsy"/>
    <n v="6000"/>
    <n v="9"/>
    <s v="No"/>
    <s v="Recovered"/>
    <n v="3"/>
    <x v="0"/>
    <s v="Medium"/>
    <s v="No"/>
  </r>
  <r>
    <n v="90"/>
    <n v="60"/>
    <s v="Female"/>
    <s v="Osteoarthritis"/>
    <s v="Physical Therapy and Pain Management"/>
    <n v="4000"/>
    <n v="10"/>
    <s v="No"/>
    <s v="Stable"/>
    <n v="4"/>
    <x v="1"/>
    <s v="Medium"/>
    <s v="Yes"/>
  </r>
  <r>
    <n v="91"/>
    <n v="48"/>
    <s v="Female"/>
    <s v="Heart Disease"/>
    <s v="Angioplasty"/>
    <n v="15000"/>
    <n v="11"/>
    <s v="Yes"/>
    <s v="Recovered"/>
    <n v="4"/>
    <x v="0"/>
    <s v="High"/>
    <s v="Yes"/>
  </r>
  <r>
    <n v="92"/>
    <n v="65"/>
    <s v="Male"/>
    <s v="Diabetes"/>
    <s v="Insulin Therapy"/>
    <n v="2000"/>
    <n v="9"/>
    <s v="No"/>
    <s v="Stable"/>
    <n v="3"/>
    <x v="1"/>
    <s v="Medium"/>
    <s v="No"/>
  </r>
  <r>
    <n v="93"/>
    <n v="30"/>
    <s v="Female"/>
    <s v="Fractured Arm"/>
    <s v="X-Ray and Splint"/>
    <n v="500"/>
    <n v="7"/>
    <s v="No"/>
    <s v="Recovered"/>
    <n v="5"/>
    <x v="2"/>
    <s v="Low"/>
    <s v="Yes"/>
  </r>
  <r>
    <n v="94"/>
    <n v="70"/>
    <s v="Male"/>
    <s v="Stroke"/>
    <s v="CT Scan and Medication"/>
    <n v="10000"/>
    <n v="13"/>
    <s v="Yes"/>
    <s v="Stable"/>
    <n v="2"/>
    <x v="1"/>
    <s v="High"/>
    <s v="No"/>
  </r>
  <r>
    <n v="95"/>
    <n v="55"/>
    <s v="Female"/>
    <s v="Cancer"/>
    <s v="Surgery and Chemotherapy"/>
    <n v="25000"/>
    <n v="16"/>
    <s v="No"/>
    <s v="Recovered"/>
    <n v="4"/>
    <x v="0"/>
    <s v="High"/>
    <s v="Yes"/>
  </r>
  <r>
    <n v="96"/>
    <n v="68"/>
    <s v="Male"/>
    <s v="Hypertension"/>
    <s v="Medication and Counseling"/>
    <n v="1000"/>
    <n v="8"/>
    <s v="No"/>
    <s v="Stable"/>
    <n v="4"/>
    <x v="1"/>
    <s v="Low"/>
    <s v="Yes"/>
  </r>
  <r>
    <n v="97"/>
    <n v="45"/>
    <s v="Female"/>
    <s v="Appendicitis"/>
    <s v="Appendectomy"/>
    <n v="8000"/>
    <n v="10"/>
    <s v="No"/>
    <s v="Recovered"/>
    <n v="3"/>
    <x v="0"/>
    <s v="Medium"/>
    <s v="No"/>
  </r>
  <r>
    <n v="98"/>
    <n v="40"/>
    <s v="Male"/>
    <s v="Fractured Leg"/>
    <s v="Cast and Physical Therapy"/>
    <n v="3000"/>
    <n v="12"/>
    <s v="No"/>
    <s v="Recovered"/>
    <n v="4"/>
    <x v="2"/>
    <s v="Medium"/>
    <s v="Yes"/>
  </r>
  <r>
    <n v="99"/>
    <n v="78"/>
    <s v="Female"/>
    <s v="Heart Attack"/>
    <s v="Cardiac Catheterization"/>
    <n v="18000"/>
    <n v="14"/>
    <s v="Yes"/>
    <s v="Stable"/>
    <n v="2"/>
    <x v="3"/>
    <s v="High"/>
    <s v="No"/>
  </r>
  <r>
    <n v="100"/>
    <n v="25"/>
    <s v="Male"/>
    <s v="Allergic Reaction"/>
    <s v="Epinephrine Injection"/>
    <n v="100"/>
    <n v="7"/>
    <s v="No"/>
    <s v="Recovered"/>
    <n v="5"/>
    <x v="4"/>
    <s v="Low"/>
    <s v="Yes"/>
  </r>
  <r>
    <n v="101"/>
    <n v="52"/>
    <s v="Female"/>
    <s v="Respiratory Infection"/>
    <s v="Antibiotics and Rest"/>
    <n v="800"/>
    <n v="8"/>
    <s v="No"/>
    <s v="Stable"/>
    <n v="4"/>
    <x v="0"/>
    <s v="Low"/>
    <s v="Yes"/>
  </r>
  <r>
    <n v="102"/>
    <n v="58"/>
    <s v="Male"/>
    <s v="Prostate Cancer"/>
    <s v="Radiation Therapy"/>
    <n v="20000"/>
    <n v="15"/>
    <s v="No"/>
    <s v="Recovered"/>
    <n v="3"/>
    <x v="0"/>
    <s v="High"/>
    <s v="No"/>
  </r>
  <r>
    <n v="103"/>
    <n v="32"/>
    <s v="Female"/>
    <s v="Childbirth"/>
    <s v="Delivery and Postnatal Care"/>
    <n v="12000"/>
    <n v="9"/>
    <s v="No"/>
    <s v="Recovered"/>
    <n v="4"/>
    <x v="2"/>
    <s v="High"/>
    <s v="Yes"/>
  </r>
  <r>
    <n v="104"/>
    <n v="55"/>
    <s v="Male"/>
    <s v="Kidney Stones"/>
    <s v="Lithotripsy"/>
    <n v="6000"/>
    <n v="10"/>
    <s v="No"/>
    <s v="Recovered"/>
    <n v="3"/>
    <x v="0"/>
    <s v="Medium"/>
    <s v="No"/>
  </r>
  <r>
    <n v="105"/>
    <n v="65"/>
    <s v="Female"/>
    <s v="Osteoarthritis"/>
    <s v="Physical Therapy and Pain Management"/>
    <n v="4000"/>
    <n v="11"/>
    <s v="No"/>
    <s v="Stable"/>
    <n v="4"/>
    <x v="1"/>
    <s v="Medium"/>
    <s v="Yes"/>
  </r>
  <r>
    <n v="106"/>
    <n v="55"/>
    <s v="Female"/>
    <s v="Heart Disease"/>
    <s v="Angioplasty"/>
    <n v="15000"/>
    <n v="12"/>
    <s v="Yes"/>
    <s v="Recovered"/>
    <n v="3"/>
    <x v="0"/>
    <s v="High"/>
    <s v="No"/>
  </r>
  <r>
    <n v="107"/>
    <n v="62"/>
    <s v="Male"/>
    <s v="Diabetes"/>
    <s v="Insulin Therapy"/>
    <n v="2000"/>
    <n v="10"/>
    <s v="No"/>
    <s v="Stable"/>
    <n v="4"/>
    <x v="1"/>
    <s v="Medium"/>
    <s v="Yes"/>
  </r>
  <r>
    <n v="108"/>
    <n v="35"/>
    <s v="Female"/>
    <s v="Fractured Arm"/>
    <s v="X-Ray and Splint"/>
    <n v="500"/>
    <n v="8"/>
    <s v="Yes"/>
    <s v="Recovered"/>
    <n v="5"/>
    <x v="2"/>
    <s v="Low"/>
    <s v="Yes"/>
  </r>
  <r>
    <n v="109"/>
    <n v="78"/>
    <s v="Male"/>
    <s v="Stroke"/>
    <s v="CT Scan and Medication"/>
    <n v="10000"/>
    <n v="14"/>
    <s v="No"/>
    <s v="Stable"/>
    <n v="2"/>
    <x v="3"/>
    <s v="High"/>
    <s v="No"/>
  </r>
  <r>
    <n v="110"/>
    <n v="53"/>
    <s v="Female"/>
    <s v="Cancer"/>
    <s v="Surgery and Chemotherapy"/>
    <n v="25000"/>
    <n v="17"/>
    <s v="Yes"/>
    <s v="Recovered"/>
    <n v="4"/>
    <x v="0"/>
    <s v="High"/>
    <s v="Yes"/>
  </r>
  <r>
    <n v="111"/>
    <n v="72"/>
    <s v="Male"/>
    <s v="Hypertension"/>
    <s v="Medication and Counseling"/>
    <n v="1000"/>
    <n v="9"/>
    <s v="No"/>
    <s v="Stable"/>
    <n v="4"/>
    <x v="1"/>
    <s v="Low"/>
    <s v="Yes"/>
  </r>
  <r>
    <n v="112"/>
    <n v="60"/>
    <s v="Female"/>
    <s v="Appendicitis"/>
    <s v="Appendectomy"/>
    <n v="8000"/>
    <n v="11"/>
    <s v="Yes"/>
    <s v="Recovered"/>
    <n v="3"/>
    <x v="1"/>
    <s v="Medium"/>
    <s v="No"/>
  </r>
  <r>
    <n v="113"/>
    <n v="45"/>
    <s v="Male"/>
    <s v="Fractured Leg"/>
    <s v="Cast and Physical Therapy"/>
    <n v="3000"/>
    <n v="13"/>
    <s v="No"/>
    <s v="Recovered"/>
    <n v="4"/>
    <x v="0"/>
    <s v="Medium"/>
    <s v="Yes"/>
  </r>
  <r>
    <n v="114"/>
    <n v="75"/>
    <s v="Female"/>
    <s v="Heart Attack"/>
    <s v="Cardiac Catheterization"/>
    <n v="18000"/>
    <n v="15"/>
    <s v="Yes"/>
    <s v="Stable"/>
    <n v="2"/>
    <x v="3"/>
    <s v="High"/>
    <s v="No"/>
  </r>
  <r>
    <n v="115"/>
    <n v="28"/>
    <s v="Male"/>
    <s v="Allergic Reaction"/>
    <s v="Epinephrine Injection"/>
    <n v="100"/>
    <n v="8"/>
    <s v="No"/>
    <s v="Recovered"/>
    <n v="5"/>
    <x v="4"/>
    <s v="Low"/>
    <s v="Yes"/>
  </r>
  <r>
    <n v="116"/>
    <n v="52"/>
    <s v="Female"/>
    <s v="Respiratory Infection"/>
    <s v="Antibiotics and Rest"/>
    <n v="800"/>
    <n v="9"/>
    <s v="No"/>
    <s v="Stable"/>
    <n v="4"/>
    <x v="0"/>
    <s v="Low"/>
    <s v="Yes"/>
  </r>
  <r>
    <n v="117"/>
    <n v="67"/>
    <s v="Male"/>
    <s v="Prostate Cancer"/>
    <s v="Radiation Therapy"/>
    <n v="20000"/>
    <n v="16"/>
    <s v="No"/>
    <s v="Recovered"/>
    <n v="3"/>
    <x v="1"/>
    <s v="High"/>
    <s v="No"/>
  </r>
  <r>
    <n v="118"/>
    <n v="35"/>
    <s v="Female"/>
    <s v="Childbirth"/>
    <s v="Delivery and Postnatal Care"/>
    <n v="12000"/>
    <n v="10"/>
    <s v="No"/>
    <s v="Recovered"/>
    <n v="4"/>
    <x v="2"/>
    <s v="High"/>
    <s v="Yes"/>
  </r>
  <r>
    <n v="119"/>
    <n v="50"/>
    <s v="Male"/>
    <s v="Kidney Stones"/>
    <s v="Lithotripsy"/>
    <n v="6000"/>
    <n v="11"/>
    <s v="No"/>
    <s v="Recovered"/>
    <n v="3"/>
    <x v="0"/>
    <s v="Medium"/>
    <s v="No"/>
  </r>
  <r>
    <n v="120"/>
    <n v="60"/>
    <s v="Female"/>
    <s v="Osteoarthritis"/>
    <s v="Physical Therapy and Pain Management"/>
    <n v="4000"/>
    <n v="12"/>
    <s v="No"/>
    <s v="Stable"/>
    <n v="4"/>
    <x v="1"/>
    <s v="Medium"/>
    <s v="Yes"/>
  </r>
  <r>
    <n v="122"/>
    <n v="65"/>
    <s v="Male"/>
    <s v="Diabetes"/>
    <s v="Insulin Therapy"/>
    <n v="2000"/>
    <n v="11"/>
    <s v="No"/>
    <s v="Stable"/>
    <n v="3"/>
    <x v="1"/>
    <s v="Medium"/>
    <s v="No"/>
  </r>
  <r>
    <n v="123"/>
    <n v="30"/>
    <s v="Female"/>
    <s v="Fractured Arm"/>
    <s v="X-Ray and Splint"/>
    <n v="500"/>
    <n v="9"/>
    <s v="No"/>
    <s v="Recovered"/>
    <n v="5"/>
    <x v="2"/>
    <s v="Low"/>
    <s v="Yes"/>
  </r>
  <r>
    <n v="124"/>
    <n v="70"/>
    <s v="Male"/>
    <s v="Stroke"/>
    <s v="CT Scan and Medication"/>
    <n v="10000"/>
    <n v="15"/>
    <s v="Yes"/>
    <s v="Stable"/>
    <n v="2"/>
    <x v="1"/>
    <s v="High"/>
    <s v="No"/>
  </r>
  <r>
    <n v="125"/>
    <n v="55"/>
    <s v="Female"/>
    <s v="Cancer"/>
    <s v="Surgery and Chemotherapy"/>
    <n v="25000"/>
    <n v="18"/>
    <s v="No"/>
    <s v="Recovered"/>
    <n v="4"/>
    <x v="0"/>
    <s v="High"/>
    <s v="Yes"/>
  </r>
  <r>
    <n v="126"/>
    <n v="68"/>
    <s v="Male"/>
    <s v="Hypertension"/>
    <s v="Medication and Counseling"/>
    <n v="1000"/>
    <n v="10"/>
    <s v="No"/>
    <s v="Stable"/>
    <n v="4"/>
    <x v="1"/>
    <s v="Low"/>
    <s v="Yes"/>
  </r>
  <r>
    <n v="127"/>
    <n v="45"/>
    <s v="Female"/>
    <s v="Appendicitis"/>
    <s v="Appendectomy"/>
    <n v="8000"/>
    <n v="12"/>
    <s v="No"/>
    <s v="Recovered"/>
    <n v="3"/>
    <x v="0"/>
    <s v="Medium"/>
    <s v="No"/>
  </r>
  <r>
    <n v="128"/>
    <n v="40"/>
    <s v="Male"/>
    <s v="Fractured Leg"/>
    <s v="Cast and Physical Therapy"/>
    <n v="3000"/>
    <n v="14"/>
    <s v="No"/>
    <s v="Recovered"/>
    <n v="4"/>
    <x v="2"/>
    <s v="Medium"/>
    <s v="Yes"/>
  </r>
  <r>
    <n v="129"/>
    <n v="78"/>
    <s v="Female"/>
    <s v="Heart Attack"/>
    <s v="Cardiac Catheterization"/>
    <n v="18000"/>
    <n v="16"/>
    <s v="Yes"/>
    <s v="Stable"/>
    <n v="2"/>
    <x v="3"/>
    <s v="High"/>
    <s v="No"/>
  </r>
  <r>
    <n v="130"/>
    <n v="25"/>
    <s v="Male"/>
    <s v="Allergic Reaction"/>
    <s v="Epinephrine Injection"/>
    <n v="100"/>
    <n v="9"/>
    <s v="No"/>
    <s v="Recovered"/>
    <n v="5"/>
    <x v="4"/>
    <s v="Low"/>
    <s v="Yes"/>
  </r>
  <r>
    <n v="131"/>
    <n v="52"/>
    <s v="Female"/>
    <s v="Respiratory Infection"/>
    <s v="Antibiotics and Rest"/>
    <n v="800"/>
    <n v="10"/>
    <s v="No"/>
    <s v="Stable"/>
    <n v="4"/>
    <x v="0"/>
    <s v="Low"/>
    <s v="Yes"/>
  </r>
  <r>
    <n v="132"/>
    <n v="58"/>
    <s v="Male"/>
    <s v="Prostate Cancer"/>
    <s v="Radiation Therapy"/>
    <n v="20000"/>
    <n v="17"/>
    <s v="No"/>
    <s v="Recovered"/>
    <n v="3"/>
    <x v="0"/>
    <s v="High"/>
    <s v="No"/>
  </r>
  <r>
    <n v="133"/>
    <n v="32"/>
    <s v="Female"/>
    <s v="Childbirth"/>
    <s v="Delivery and Postnatal Care"/>
    <n v="12000"/>
    <n v="11"/>
    <s v="No"/>
    <s v="Recovered"/>
    <n v="4"/>
    <x v="2"/>
    <s v="High"/>
    <s v="Yes"/>
  </r>
  <r>
    <n v="134"/>
    <n v="55"/>
    <s v="Male"/>
    <s v="Kidney Stones"/>
    <s v="Lithotripsy"/>
    <n v="6000"/>
    <n v="12"/>
    <s v="No"/>
    <s v="Recovered"/>
    <n v="3"/>
    <x v="0"/>
    <s v="Medium"/>
    <s v="No"/>
  </r>
  <r>
    <n v="135"/>
    <n v="65"/>
    <s v="Female"/>
    <s v="Osteoarthritis"/>
    <s v="Physical Therapy and Pain Management"/>
    <n v="4000"/>
    <n v="13"/>
    <s v="No"/>
    <s v="Stable"/>
    <n v="4"/>
    <x v="1"/>
    <s v="Medium"/>
    <s v="Yes"/>
  </r>
  <r>
    <n v="136"/>
    <n v="55"/>
    <s v="Female"/>
    <s v="Heart Disease"/>
    <s v="Angioplasty"/>
    <n v="15000"/>
    <n v="14"/>
    <s v="Yes"/>
    <s v="Recovered"/>
    <n v="3"/>
    <x v="0"/>
    <s v="High"/>
    <s v="No"/>
  </r>
  <r>
    <n v="137"/>
    <n v="62"/>
    <s v="Male"/>
    <s v="Diabetes"/>
    <s v="Insulin Therapy"/>
    <n v="2000"/>
    <n v="12"/>
    <s v="No"/>
    <s v="Stable"/>
    <n v="4"/>
    <x v="1"/>
    <s v="Medium"/>
    <s v="Yes"/>
  </r>
  <r>
    <n v="138"/>
    <n v="35"/>
    <s v="Female"/>
    <s v="Fractured Arm"/>
    <s v="X-Ray and Splint"/>
    <n v="500"/>
    <n v="10"/>
    <s v="Yes"/>
    <s v="Recovered"/>
    <n v="5"/>
    <x v="2"/>
    <s v="Low"/>
    <s v="Yes"/>
  </r>
  <r>
    <n v="139"/>
    <n v="78"/>
    <s v="Male"/>
    <s v="Stroke"/>
    <s v="CT Scan and Medication"/>
    <n v="10000"/>
    <n v="16"/>
    <s v="No"/>
    <s v="Stable"/>
    <n v="2"/>
    <x v="3"/>
    <s v="High"/>
    <s v="No"/>
  </r>
  <r>
    <n v="140"/>
    <n v="53"/>
    <s v="Female"/>
    <s v="Cancer"/>
    <s v="Surgery and Chemotherapy"/>
    <n v="25000"/>
    <n v="19"/>
    <s v="Yes"/>
    <s v="Recovered"/>
    <n v="4"/>
    <x v="0"/>
    <s v="High"/>
    <s v="Yes"/>
  </r>
  <r>
    <n v="141"/>
    <n v="72"/>
    <s v="Male"/>
    <s v="Hypertension"/>
    <s v="Medication and Counseling"/>
    <n v="1000"/>
    <n v="11"/>
    <s v="No"/>
    <s v="Stable"/>
    <n v="4"/>
    <x v="1"/>
    <s v="Low"/>
    <s v="Yes"/>
  </r>
  <r>
    <n v="142"/>
    <n v="60"/>
    <s v="Female"/>
    <s v="Appendicitis"/>
    <s v="Appendectomy"/>
    <n v="8000"/>
    <n v="13"/>
    <s v="Yes"/>
    <s v="Recovered"/>
    <n v="3"/>
    <x v="1"/>
    <s v="Medium"/>
    <s v="No"/>
  </r>
  <r>
    <n v="143"/>
    <n v="45"/>
    <s v="Male"/>
    <s v="Fractured Leg"/>
    <s v="Cast and Physical Therapy"/>
    <n v="3000"/>
    <n v="15"/>
    <s v="No"/>
    <s v="Recovered"/>
    <n v="4"/>
    <x v="0"/>
    <s v="Medium"/>
    <s v="Yes"/>
  </r>
  <r>
    <n v="144"/>
    <n v="75"/>
    <s v="Female"/>
    <s v="Heart Attack"/>
    <s v="Cardiac Catheterization"/>
    <n v="18000"/>
    <n v="17"/>
    <s v="Yes"/>
    <s v="Stable"/>
    <n v="2"/>
    <x v="3"/>
    <s v="High"/>
    <s v="No"/>
  </r>
  <r>
    <n v="145"/>
    <n v="28"/>
    <s v="Male"/>
    <s v="Allergic Reaction"/>
    <s v="Epinephrine Injection"/>
    <n v="100"/>
    <n v="10"/>
    <s v="No"/>
    <s v="Recovered"/>
    <n v="5"/>
    <x v="4"/>
    <s v="Low"/>
    <s v="Yes"/>
  </r>
  <r>
    <n v="146"/>
    <n v="52"/>
    <s v="Female"/>
    <s v="Respiratory Infection"/>
    <s v="Antibiotics and Rest"/>
    <n v="800"/>
    <n v="11"/>
    <s v="No"/>
    <s v="Stable"/>
    <n v="4"/>
    <x v="0"/>
    <s v="Low"/>
    <s v="Yes"/>
  </r>
  <r>
    <n v="147"/>
    <n v="67"/>
    <s v="Male"/>
    <s v="Prostate Cancer"/>
    <s v="Radiation Therapy"/>
    <n v="20000"/>
    <n v="18"/>
    <s v="No"/>
    <s v="Recovered"/>
    <n v="3"/>
    <x v="1"/>
    <s v="High"/>
    <s v="No"/>
  </r>
  <r>
    <n v="148"/>
    <n v="35"/>
    <s v="Female"/>
    <s v="Childbirth"/>
    <s v="Delivery and Postnatal Care"/>
    <n v="12000"/>
    <n v="12"/>
    <s v="No"/>
    <s v="Recovered"/>
    <n v="4"/>
    <x v="2"/>
    <s v="High"/>
    <s v="Yes"/>
  </r>
  <r>
    <n v="149"/>
    <n v="50"/>
    <s v="Male"/>
    <s v="Kidney Stones"/>
    <s v="Lithotripsy"/>
    <n v="6000"/>
    <n v="13"/>
    <s v="No"/>
    <s v="Recovered"/>
    <n v="3"/>
    <x v="0"/>
    <s v="Medium"/>
    <s v="No"/>
  </r>
  <r>
    <n v="150"/>
    <n v="60"/>
    <s v="Female"/>
    <s v="Osteoarthritis"/>
    <s v="Physical Therapy and Pain Management"/>
    <n v="4000"/>
    <n v="14"/>
    <s v="No"/>
    <s v="Stable"/>
    <n v="4"/>
    <x v="1"/>
    <s v="Medium"/>
    <s v="Yes"/>
  </r>
  <r>
    <n v="151"/>
    <n v="48"/>
    <s v="Female"/>
    <s v="Heart Disease"/>
    <s v="Angioplasty"/>
    <n v="15000"/>
    <n v="15"/>
    <s v="Yes"/>
    <s v="Recovered"/>
    <n v="4"/>
    <x v="0"/>
    <s v="High"/>
    <s v="Yes"/>
  </r>
  <r>
    <n v="152"/>
    <n v="65"/>
    <s v="Male"/>
    <s v="Diabetes"/>
    <s v="Insulin Therapy"/>
    <n v="2000"/>
    <n v="13"/>
    <s v="No"/>
    <s v="Stable"/>
    <n v="3"/>
    <x v="1"/>
    <s v="Medium"/>
    <s v="No"/>
  </r>
  <r>
    <n v="153"/>
    <n v="30"/>
    <s v="Female"/>
    <s v="Fractured Arm"/>
    <s v="X-Ray and Splint"/>
    <n v="500"/>
    <n v="11"/>
    <s v="No"/>
    <s v="Recovered"/>
    <n v="5"/>
    <x v="2"/>
    <s v="Low"/>
    <s v="Yes"/>
  </r>
  <r>
    <n v="154"/>
    <n v="70"/>
    <s v="Male"/>
    <s v="Stroke"/>
    <s v="CT Scan and Medication"/>
    <n v="10000"/>
    <n v="17"/>
    <s v="Yes"/>
    <s v="Stable"/>
    <n v="2"/>
    <x v="1"/>
    <s v="High"/>
    <s v="No"/>
  </r>
  <r>
    <n v="155"/>
    <n v="55"/>
    <s v="Female"/>
    <s v="Cancer"/>
    <s v="Surgery and Chemotherapy"/>
    <n v="25000"/>
    <n v="20"/>
    <s v="No"/>
    <s v="Recovered"/>
    <n v="4"/>
    <x v="0"/>
    <s v="High"/>
    <s v="Yes"/>
  </r>
  <r>
    <n v="156"/>
    <n v="68"/>
    <s v="Male"/>
    <s v="Hypertension"/>
    <s v="Medication and Counseling"/>
    <n v="1000"/>
    <n v="12"/>
    <s v="No"/>
    <s v="Stable"/>
    <n v="4"/>
    <x v="1"/>
    <s v="Low"/>
    <s v="Yes"/>
  </r>
  <r>
    <n v="157"/>
    <n v="45"/>
    <s v="Female"/>
    <s v="Appendicitis"/>
    <s v="Appendectomy"/>
    <n v="8000"/>
    <n v="14"/>
    <s v="No"/>
    <s v="Recovered"/>
    <n v="3"/>
    <x v="0"/>
    <s v="Medium"/>
    <s v="No"/>
  </r>
  <r>
    <n v="158"/>
    <n v="40"/>
    <s v="Male"/>
    <s v="Fractured Leg"/>
    <s v="Cast and Physical Therapy"/>
    <n v="3000"/>
    <n v="16"/>
    <s v="No"/>
    <s v="Recovered"/>
    <n v="4"/>
    <x v="2"/>
    <s v="Medium"/>
    <s v="Yes"/>
  </r>
  <r>
    <n v="159"/>
    <n v="78"/>
    <s v="Female"/>
    <s v="Heart Attack"/>
    <s v="Cardiac Catheterization"/>
    <n v="18000"/>
    <n v="18"/>
    <s v="Yes"/>
    <s v="Stable"/>
    <n v="2"/>
    <x v="3"/>
    <s v="High"/>
    <s v="No"/>
  </r>
  <r>
    <n v="160"/>
    <n v="25"/>
    <s v="Male"/>
    <s v="Allergic Reaction"/>
    <s v="Epinephrine Injection"/>
    <n v="100"/>
    <n v="11"/>
    <s v="No"/>
    <s v="Recovered"/>
    <n v="5"/>
    <x v="4"/>
    <s v="Low"/>
    <s v="Yes"/>
  </r>
  <r>
    <n v="161"/>
    <n v="52"/>
    <s v="Female"/>
    <s v="Respiratory Infection"/>
    <s v="Antibiotics and Rest"/>
    <n v="800"/>
    <n v="12"/>
    <s v="No"/>
    <s v="Stable"/>
    <n v="4"/>
    <x v="0"/>
    <s v="Low"/>
    <s v="Yes"/>
  </r>
  <r>
    <n v="162"/>
    <n v="58"/>
    <s v="Male"/>
    <s v="Prostate Cancer"/>
    <s v="Radiation Therapy"/>
    <n v="20000"/>
    <n v="19"/>
    <s v="No"/>
    <s v="Recovered"/>
    <n v="3"/>
    <x v="0"/>
    <s v="High"/>
    <s v="No"/>
  </r>
  <r>
    <n v="163"/>
    <n v="32"/>
    <s v="Female"/>
    <s v="Childbirth"/>
    <s v="Delivery and Postnatal Care"/>
    <n v="12000"/>
    <n v="13"/>
    <s v="No"/>
    <s v="Recovered"/>
    <n v="4"/>
    <x v="2"/>
    <s v="High"/>
    <s v="Yes"/>
  </r>
  <r>
    <n v="164"/>
    <n v="55"/>
    <s v="Male"/>
    <s v="Kidney Stones"/>
    <s v="Lithotripsy"/>
    <n v="6000"/>
    <n v="14"/>
    <s v="No"/>
    <s v="Recovered"/>
    <n v="3"/>
    <x v="0"/>
    <s v="Medium"/>
    <s v="No"/>
  </r>
  <r>
    <n v="165"/>
    <n v="65"/>
    <s v="Female"/>
    <s v="Osteoarthritis"/>
    <s v="Physical Therapy and Pain Management"/>
    <n v="4000"/>
    <n v="15"/>
    <s v="No"/>
    <s v="Stable"/>
    <n v="4"/>
    <x v="1"/>
    <s v="Medium"/>
    <s v="Yes"/>
  </r>
  <r>
    <n v="166"/>
    <n v="55"/>
    <s v="Female"/>
    <s v="Heart Disease"/>
    <s v="Angioplasty"/>
    <n v="15000"/>
    <n v="16"/>
    <s v="Yes"/>
    <s v="Recovered"/>
    <n v="3"/>
    <x v="0"/>
    <s v="High"/>
    <s v="No"/>
  </r>
  <r>
    <n v="167"/>
    <n v="62"/>
    <s v="Male"/>
    <s v="Diabetes"/>
    <s v="Insulin Therapy"/>
    <n v="2000"/>
    <n v="14"/>
    <s v="No"/>
    <s v="Stable"/>
    <n v="4"/>
    <x v="1"/>
    <s v="Medium"/>
    <s v="Yes"/>
  </r>
  <r>
    <n v="168"/>
    <n v="35"/>
    <s v="Female"/>
    <s v="Fractured Arm"/>
    <s v="X-Ray and Splint"/>
    <n v="500"/>
    <n v="12"/>
    <s v="Yes"/>
    <s v="Recovered"/>
    <n v="5"/>
    <x v="2"/>
    <s v="Low"/>
    <s v="Yes"/>
  </r>
  <r>
    <n v="169"/>
    <n v="78"/>
    <s v="Male"/>
    <s v="Stroke"/>
    <s v="CT Scan and Medication"/>
    <n v="10000"/>
    <n v="18"/>
    <s v="No"/>
    <s v="Stable"/>
    <n v="2"/>
    <x v="3"/>
    <s v="High"/>
    <s v="No"/>
  </r>
  <r>
    <n v="170"/>
    <n v="53"/>
    <s v="Female"/>
    <s v="Cancer"/>
    <s v="Surgery and Chemotherapy"/>
    <n v="25000"/>
    <n v="21"/>
    <s v="Yes"/>
    <s v="Recovered"/>
    <n v="4"/>
    <x v="0"/>
    <s v="High"/>
    <s v="Yes"/>
  </r>
  <r>
    <n v="171"/>
    <n v="72"/>
    <s v="Male"/>
    <s v="Hypertension"/>
    <s v="Medication and Counseling"/>
    <n v="1000"/>
    <n v="13"/>
    <s v="No"/>
    <s v="Stable"/>
    <n v="4"/>
    <x v="1"/>
    <s v="Low"/>
    <s v="Yes"/>
  </r>
  <r>
    <n v="172"/>
    <n v="60"/>
    <s v="Female"/>
    <s v="Appendicitis"/>
    <s v="Appendectomy"/>
    <n v="8000"/>
    <n v="15"/>
    <s v="Yes"/>
    <s v="Recovered"/>
    <n v="3"/>
    <x v="1"/>
    <s v="Medium"/>
    <s v="No"/>
  </r>
  <r>
    <n v="173"/>
    <n v="45"/>
    <s v="Male"/>
    <s v="Fractured Leg"/>
    <s v="Cast and Physical Therapy"/>
    <n v="3000"/>
    <n v="17"/>
    <s v="No"/>
    <s v="Recovered"/>
    <n v="4"/>
    <x v="0"/>
    <s v="Medium"/>
    <s v="Yes"/>
  </r>
  <r>
    <n v="174"/>
    <n v="75"/>
    <s v="Female"/>
    <s v="Heart Attack"/>
    <s v="Cardiac Catheterization"/>
    <n v="18000"/>
    <n v="19"/>
    <s v="Yes"/>
    <s v="Stable"/>
    <n v="2"/>
    <x v="3"/>
    <s v="High"/>
    <s v="No"/>
  </r>
  <r>
    <n v="175"/>
    <n v="28"/>
    <s v="Male"/>
    <s v="Allergic Reaction"/>
    <s v="Epinephrine Injection"/>
    <n v="100"/>
    <n v="12"/>
    <s v="No"/>
    <s v="Recovered"/>
    <n v="5"/>
    <x v="4"/>
    <s v="Low"/>
    <s v="Yes"/>
  </r>
  <r>
    <n v="176"/>
    <n v="52"/>
    <s v="Female"/>
    <s v="Respiratory Infection"/>
    <s v="Antibiotics and Rest"/>
    <n v="800"/>
    <n v="13"/>
    <s v="No"/>
    <s v="Stable"/>
    <n v="4"/>
    <x v="0"/>
    <s v="Low"/>
    <s v="Yes"/>
  </r>
  <r>
    <n v="177"/>
    <n v="67"/>
    <s v="Male"/>
    <s v="Prostate Cancer"/>
    <s v="Radiation Therapy"/>
    <n v="20000"/>
    <n v="20"/>
    <s v="No"/>
    <s v="Recovered"/>
    <n v="3"/>
    <x v="1"/>
    <s v="High"/>
    <s v="No"/>
  </r>
  <r>
    <n v="178"/>
    <n v="35"/>
    <s v="Female"/>
    <s v="Childbirth"/>
    <s v="Delivery and Postnatal Care"/>
    <n v="12000"/>
    <n v="14"/>
    <s v="No"/>
    <s v="Recovered"/>
    <n v="4"/>
    <x v="2"/>
    <s v="High"/>
    <s v="Yes"/>
  </r>
  <r>
    <n v="179"/>
    <n v="50"/>
    <s v="Male"/>
    <s v="Kidney Stones"/>
    <s v="Lithotripsy"/>
    <n v="6000"/>
    <n v="15"/>
    <s v="No"/>
    <s v="Recovered"/>
    <n v="3"/>
    <x v="0"/>
    <s v="Medium"/>
    <s v="No"/>
  </r>
  <r>
    <n v="180"/>
    <n v="60"/>
    <s v="Female"/>
    <s v="Osteoarthritis"/>
    <s v="Physical Therapy and Pain Management"/>
    <n v="4000"/>
    <n v="16"/>
    <s v="No"/>
    <s v="Stable"/>
    <n v="4"/>
    <x v="1"/>
    <s v="Medium"/>
    <s v="Yes"/>
  </r>
  <r>
    <n v="181"/>
    <n v="48"/>
    <s v="Female"/>
    <s v="Heart Disease"/>
    <s v="Angioplasty"/>
    <n v="15000"/>
    <n v="17"/>
    <s v="Yes"/>
    <s v="Recovered"/>
    <n v="4"/>
    <x v="0"/>
    <s v="High"/>
    <s v="Yes"/>
  </r>
  <r>
    <n v="183"/>
    <n v="30"/>
    <s v="Female"/>
    <s v="Fractured Arm"/>
    <s v="X-Ray and Splint"/>
    <n v="500"/>
    <n v="13"/>
    <s v="No"/>
    <s v="Recovered"/>
    <n v="5"/>
    <x v="2"/>
    <s v="Low"/>
    <s v="Yes"/>
  </r>
  <r>
    <n v="184"/>
    <n v="70"/>
    <s v="Male"/>
    <s v="Stroke"/>
    <s v="CT Scan and Medication"/>
    <n v="10000"/>
    <n v="19"/>
    <s v="Yes"/>
    <s v="Stable"/>
    <n v="2"/>
    <x v="1"/>
    <s v="High"/>
    <s v="No"/>
  </r>
  <r>
    <n v="185"/>
    <n v="55"/>
    <s v="Female"/>
    <s v="Cancer"/>
    <s v="Surgery and Chemotherapy"/>
    <n v="25000"/>
    <n v="22"/>
    <s v="No"/>
    <s v="Recovered"/>
    <n v="4"/>
    <x v="0"/>
    <s v="High"/>
    <s v="Yes"/>
  </r>
  <r>
    <n v="186"/>
    <n v="68"/>
    <s v="Male"/>
    <s v="Hypertension"/>
    <s v="Medication and Counseling"/>
    <n v="1000"/>
    <n v="14"/>
    <s v="No"/>
    <s v="Stable"/>
    <n v="4"/>
    <x v="1"/>
    <s v="Low"/>
    <s v="Yes"/>
  </r>
  <r>
    <n v="187"/>
    <n v="45"/>
    <s v="Female"/>
    <s v="Appendicitis"/>
    <s v="Appendectomy"/>
    <n v="8000"/>
    <n v="16"/>
    <s v="No"/>
    <s v="Recovered"/>
    <n v="3"/>
    <x v="0"/>
    <s v="Medium"/>
    <s v="No"/>
  </r>
  <r>
    <n v="188"/>
    <n v="40"/>
    <s v="Male"/>
    <s v="Fractured Leg"/>
    <s v="Cast and Physical Therapy"/>
    <n v="3000"/>
    <n v="18"/>
    <s v="No"/>
    <s v="Recovered"/>
    <n v="4"/>
    <x v="2"/>
    <s v="Medium"/>
    <s v="Yes"/>
  </r>
  <r>
    <n v="189"/>
    <n v="78"/>
    <s v="Female"/>
    <s v="Heart Attack"/>
    <s v="Cardiac Catheterization"/>
    <n v="18000"/>
    <n v="20"/>
    <s v="Yes"/>
    <s v="Stable"/>
    <n v="2"/>
    <x v="3"/>
    <s v="High"/>
    <s v="No"/>
  </r>
  <r>
    <n v="190"/>
    <n v="25"/>
    <s v="Male"/>
    <s v="Allergic Reaction"/>
    <s v="Epinephrine Injection"/>
    <n v="100"/>
    <n v="13"/>
    <s v="No"/>
    <s v="Recovered"/>
    <n v="5"/>
    <x v="4"/>
    <s v="Low"/>
    <s v="Yes"/>
  </r>
  <r>
    <n v="191"/>
    <n v="52"/>
    <s v="Female"/>
    <s v="Respiratory Infection"/>
    <s v="Antibiotics and Rest"/>
    <n v="800"/>
    <n v="14"/>
    <s v="No"/>
    <s v="Stable"/>
    <n v="4"/>
    <x v="0"/>
    <s v="Low"/>
    <s v="Yes"/>
  </r>
  <r>
    <n v="192"/>
    <n v="58"/>
    <s v="Male"/>
    <s v="Prostate Cancer"/>
    <s v="Radiation Therapy"/>
    <n v="20000"/>
    <n v="21"/>
    <s v="No"/>
    <s v="Recovered"/>
    <n v="3"/>
    <x v="0"/>
    <s v="High"/>
    <s v="No"/>
  </r>
  <r>
    <n v="193"/>
    <n v="32"/>
    <s v="Female"/>
    <s v="Childbirth"/>
    <s v="Delivery and Postnatal Care"/>
    <n v="12000"/>
    <n v="15"/>
    <s v="No"/>
    <s v="Recovered"/>
    <n v="4"/>
    <x v="2"/>
    <s v="High"/>
    <s v="Yes"/>
  </r>
  <r>
    <n v="194"/>
    <n v="55"/>
    <s v="Male"/>
    <s v="Kidney Stones"/>
    <s v="Lithotripsy"/>
    <n v="6000"/>
    <n v="16"/>
    <s v="No"/>
    <s v="Recovered"/>
    <n v="3"/>
    <x v="0"/>
    <s v="Medium"/>
    <s v="No"/>
  </r>
  <r>
    <n v="195"/>
    <n v="65"/>
    <s v="Female"/>
    <s v="Osteoarthritis"/>
    <s v="Physical Therapy and Pain Management"/>
    <n v="4000"/>
    <n v="17"/>
    <s v="No"/>
    <s v="Stable"/>
    <n v="4"/>
    <x v="1"/>
    <s v="Medium"/>
    <s v="Yes"/>
  </r>
  <r>
    <n v="196"/>
    <n v="55"/>
    <s v="Female"/>
    <s v="Heart Disease"/>
    <s v="Angioplasty"/>
    <n v="15000"/>
    <n v="18"/>
    <s v="Yes"/>
    <s v="Recovered"/>
    <n v="3"/>
    <x v="0"/>
    <s v="High"/>
    <s v="No"/>
  </r>
  <r>
    <n v="197"/>
    <n v="62"/>
    <s v="Male"/>
    <s v="Diabetes"/>
    <s v="Insulin Therapy"/>
    <n v="2000"/>
    <n v="16"/>
    <s v="No"/>
    <s v="Stable"/>
    <n v="4"/>
    <x v="1"/>
    <s v="Medium"/>
    <s v="Yes"/>
  </r>
  <r>
    <n v="198"/>
    <n v="35"/>
    <s v="Female"/>
    <s v="Fractured Arm"/>
    <s v="X-Ray and Splint"/>
    <n v="500"/>
    <n v="14"/>
    <s v="Yes"/>
    <s v="Recovered"/>
    <n v="5"/>
    <x v="2"/>
    <s v="Low"/>
    <s v="Yes"/>
  </r>
  <r>
    <n v="199"/>
    <n v="78"/>
    <s v="Male"/>
    <s v="Stroke"/>
    <s v="CT Scan and Medication"/>
    <n v="10000"/>
    <n v="20"/>
    <s v="No"/>
    <s v="Stable"/>
    <n v="2"/>
    <x v="3"/>
    <s v="High"/>
    <s v="No"/>
  </r>
  <r>
    <n v="200"/>
    <n v="53"/>
    <s v="Female"/>
    <s v="Cancer"/>
    <s v="Surgery and Chemotherapy"/>
    <n v="25000"/>
    <n v="23"/>
    <s v="Yes"/>
    <s v="Recovered"/>
    <n v="4"/>
    <x v="0"/>
    <s v="High"/>
    <s v="Yes"/>
  </r>
  <r>
    <n v="201"/>
    <n v="72"/>
    <s v="Male"/>
    <s v="Hypertension"/>
    <s v="Medication and Counseling"/>
    <n v="1000"/>
    <n v="15"/>
    <s v="No"/>
    <s v="Stable"/>
    <n v="4"/>
    <x v="1"/>
    <s v="Low"/>
    <s v="Yes"/>
  </r>
  <r>
    <n v="202"/>
    <n v="60"/>
    <s v="Female"/>
    <s v="Appendicitis"/>
    <s v="Appendectomy"/>
    <n v="8000"/>
    <n v="17"/>
    <s v="Yes"/>
    <s v="Recovered"/>
    <n v="3"/>
    <x v="1"/>
    <s v="Medium"/>
    <s v="No"/>
  </r>
  <r>
    <n v="203"/>
    <n v="45"/>
    <s v="Male"/>
    <s v="Fractured Leg"/>
    <s v="Cast and Physical Therapy"/>
    <n v="3000"/>
    <n v="19"/>
    <s v="No"/>
    <s v="Recovered"/>
    <n v="4"/>
    <x v="0"/>
    <s v="Medium"/>
    <s v="Yes"/>
  </r>
  <r>
    <n v="204"/>
    <n v="75"/>
    <s v="Female"/>
    <s v="Heart Attack"/>
    <s v="Cardiac Catheterization"/>
    <n v="18000"/>
    <n v="21"/>
    <s v="Yes"/>
    <s v="Stable"/>
    <n v="2"/>
    <x v="3"/>
    <s v="High"/>
    <s v="No"/>
  </r>
  <r>
    <n v="205"/>
    <n v="28"/>
    <s v="Male"/>
    <s v="Allergic Reaction"/>
    <s v="Epinephrine Injection"/>
    <n v="100"/>
    <n v="14"/>
    <s v="No"/>
    <s v="Recovered"/>
    <n v="5"/>
    <x v="4"/>
    <s v="Low"/>
    <s v="Yes"/>
  </r>
  <r>
    <n v="206"/>
    <n v="52"/>
    <s v="Female"/>
    <s v="Respiratory Infection"/>
    <s v="Antibiotics and Rest"/>
    <n v="800"/>
    <n v="15"/>
    <s v="No"/>
    <s v="Stable"/>
    <n v="4"/>
    <x v="0"/>
    <s v="Low"/>
    <s v="Yes"/>
  </r>
  <r>
    <n v="207"/>
    <n v="67"/>
    <s v="Male"/>
    <s v="Prostate Cancer"/>
    <s v="Radiation Therapy"/>
    <n v="20000"/>
    <n v="22"/>
    <s v="No"/>
    <s v="Recovered"/>
    <n v="3"/>
    <x v="1"/>
    <s v="High"/>
    <s v="No"/>
  </r>
  <r>
    <n v="208"/>
    <n v="35"/>
    <s v="Female"/>
    <s v="Childbirth"/>
    <s v="Delivery and Postnatal Care"/>
    <n v="12000"/>
    <n v="16"/>
    <s v="No"/>
    <s v="Recovered"/>
    <n v="4"/>
    <x v="2"/>
    <s v="High"/>
    <s v="Yes"/>
  </r>
  <r>
    <n v="209"/>
    <n v="50"/>
    <s v="Male"/>
    <s v="Kidney Stones"/>
    <s v="Lithotripsy"/>
    <n v="6000"/>
    <n v="17"/>
    <s v="No"/>
    <s v="Recovered"/>
    <n v="3"/>
    <x v="0"/>
    <s v="Medium"/>
    <s v="No"/>
  </r>
  <r>
    <n v="210"/>
    <n v="60"/>
    <s v="Female"/>
    <s v="Osteoarthritis"/>
    <s v="Physical Therapy and Pain Management"/>
    <n v="4000"/>
    <n v="18"/>
    <s v="No"/>
    <s v="Stable"/>
    <n v="4"/>
    <x v="1"/>
    <s v="Medium"/>
    <s v="Yes"/>
  </r>
  <r>
    <n v="211"/>
    <n v="48"/>
    <s v="Female"/>
    <s v="Heart Disease"/>
    <s v="Angioplasty"/>
    <n v="15000"/>
    <n v="19"/>
    <s v="Yes"/>
    <s v="Recovered"/>
    <n v="4"/>
    <x v="0"/>
    <s v="High"/>
    <s v="Yes"/>
  </r>
  <r>
    <n v="212"/>
    <n v="65"/>
    <s v="Male"/>
    <s v="Diabetes"/>
    <s v="Insulin Therapy"/>
    <n v="2000"/>
    <n v="17"/>
    <s v="No"/>
    <s v="Stable"/>
    <n v="3"/>
    <x v="1"/>
    <s v="Medium"/>
    <s v="No"/>
  </r>
  <r>
    <n v="213"/>
    <n v="30"/>
    <s v="Female"/>
    <s v="Fractured Arm"/>
    <s v="X-Ray and Splint"/>
    <n v="500"/>
    <n v="15"/>
    <s v="No"/>
    <s v="Recovered"/>
    <n v="5"/>
    <x v="2"/>
    <s v="Low"/>
    <s v="Yes"/>
  </r>
  <r>
    <n v="214"/>
    <n v="70"/>
    <s v="Male"/>
    <s v="Stroke"/>
    <s v="CT Scan and Medication"/>
    <n v="10000"/>
    <n v="21"/>
    <s v="Yes"/>
    <s v="Stable"/>
    <n v="2"/>
    <x v="1"/>
    <s v="High"/>
    <s v="No"/>
  </r>
  <r>
    <n v="215"/>
    <n v="55"/>
    <s v="Female"/>
    <s v="Cancer"/>
    <s v="Surgery and Chemotherapy"/>
    <n v="25000"/>
    <n v="24"/>
    <s v="No"/>
    <s v="Recovered"/>
    <n v="4"/>
    <x v="0"/>
    <s v="High"/>
    <s v="Yes"/>
  </r>
  <r>
    <n v="216"/>
    <n v="68"/>
    <s v="Male"/>
    <s v="Hypertension"/>
    <s v="Medication and Counseling"/>
    <n v="1000"/>
    <n v="16"/>
    <s v="No"/>
    <s v="Stable"/>
    <n v="4"/>
    <x v="1"/>
    <s v="Low"/>
    <s v="Yes"/>
  </r>
  <r>
    <n v="217"/>
    <n v="45"/>
    <s v="Female"/>
    <s v="Appendicitis"/>
    <s v="Appendectomy"/>
    <n v="8000"/>
    <n v="18"/>
    <s v="No"/>
    <s v="Recovered"/>
    <n v="3"/>
    <x v="0"/>
    <s v="Medium"/>
    <s v="No"/>
  </r>
  <r>
    <n v="218"/>
    <n v="40"/>
    <s v="Male"/>
    <s v="Fractured Leg"/>
    <s v="Cast and Physical Therapy"/>
    <n v="3000"/>
    <n v="20"/>
    <s v="No"/>
    <s v="Recovered"/>
    <n v="4"/>
    <x v="2"/>
    <s v="Medium"/>
    <s v="Yes"/>
  </r>
  <r>
    <n v="219"/>
    <n v="78"/>
    <s v="Female"/>
    <s v="Heart Attack"/>
    <s v="Cardiac Catheterization"/>
    <n v="18000"/>
    <n v="22"/>
    <s v="Yes"/>
    <s v="Stable"/>
    <n v="2"/>
    <x v="3"/>
    <s v="High"/>
    <s v="No"/>
  </r>
  <r>
    <n v="220"/>
    <n v="25"/>
    <s v="Male"/>
    <s v="Allergic Reaction"/>
    <s v="Epinephrine Injection"/>
    <n v="100"/>
    <n v="15"/>
    <s v="No"/>
    <s v="Recovered"/>
    <n v="5"/>
    <x v="4"/>
    <s v="Low"/>
    <s v="Yes"/>
  </r>
  <r>
    <n v="221"/>
    <n v="52"/>
    <s v="Female"/>
    <s v="Respiratory Infection"/>
    <s v="Antibiotics and Rest"/>
    <n v="800"/>
    <n v="16"/>
    <s v="No"/>
    <s v="Stable"/>
    <n v="4"/>
    <x v="0"/>
    <s v="Low"/>
    <s v="Yes"/>
  </r>
  <r>
    <n v="222"/>
    <n v="58"/>
    <s v="Male"/>
    <s v="Prostate Cancer"/>
    <s v="Radiation Therapy"/>
    <n v="20000"/>
    <n v="23"/>
    <s v="No"/>
    <s v="Recovered"/>
    <n v="3"/>
    <x v="0"/>
    <s v="High"/>
    <s v="No"/>
  </r>
  <r>
    <n v="223"/>
    <n v="32"/>
    <s v="Female"/>
    <s v="Childbirth"/>
    <s v="Delivery and Postnatal Care"/>
    <n v="12000"/>
    <n v="17"/>
    <s v="No"/>
    <s v="Recovered"/>
    <n v="4"/>
    <x v="2"/>
    <s v="High"/>
    <s v="Yes"/>
  </r>
  <r>
    <n v="224"/>
    <n v="55"/>
    <s v="Male"/>
    <s v="Kidney Stones"/>
    <s v="Lithotripsy"/>
    <n v="6000"/>
    <n v="18"/>
    <s v="No"/>
    <s v="Recovered"/>
    <n v="3"/>
    <x v="0"/>
    <s v="Medium"/>
    <s v="No"/>
  </r>
  <r>
    <n v="225"/>
    <n v="65"/>
    <s v="Female"/>
    <s v="Osteoarthritis"/>
    <s v="Physical Therapy and Pain Management"/>
    <n v="4000"/>
    <n v="19"/>
    <s v="No"/>
    <s v="Stable"/>
    <n v="4"/>
    <x v="1"/>
    <s v="Medium"/>
    <s v="Yes"/>
  </r>
  <r>
    <n v="226"/>
    <n v="55"/>
    <s v="Female"/>
    <s v="Heart Disease"/>
    <s v="Angioplasty"/>
    <n v="15000"/>
    <n v="20"/>
    <s v="Yes"/>
    <s v="Recovered"/>
    <n v="3"/>
    <x v="0"/>
    <s v="High"/>
    <s v="No"/>
  </r>
  <r>
    <n v="227"/>
    <n v="62"/>
    <s v="Male"/>
    <s v="Diabetes"/>
    <s v="Insulin Therapy"/>
    <n v="2000"/>
    <n v="18"/>
    <s v="No"/>
    <s v="Stable"/>
    <n v="4"/>
    <x v="1"/>
    <s v="Medium"/>
    <s v="Yes"/>
  </r>
  <r>
    <n v="228"/>
    <n v="35"/>
    <s v="Female"/>
    <s v="Fractured Arm"/>
    <s v="X-Ray and Splint"/>
    <n v="500"/>
    <n v="16"/>
    <s v="Yes"/>
    <s v="Recovered"/>
    <n v="5"/>
    <x v="2"/>
    <s v="Low"/>
    <s v="Yes"/>
  </r>
  <r>
    <n v="229"/>
    <n v="78"/>
    <s v="Male"/>
    <s v="Stroke"/>
    <s v="CT Scan and Medication"/>
    <n v="10000"/>
    <n v="22"/>
    <s v="No"/>
    <s v="Stable"/>
    <n v="2"/>
    <x v="3"/>
    <s v="High"/>
    <s v="No"/>
  </r>
  <r>
    <n v="230"/>
    <n v="53"/>
    <s v="Female"/>
    <s v="Cancer"/>
    <s v="Surgery and Chemotherapy"/>
    <n v="25000"/>
    <n v="25"/>
    <s v="Yes"/>
    <s v="Recovered"/>
    <n v="4"/>
    <x v="0"/>
    <s v="High"/>
    <s v="Yes"/>
  </r>
  <r>
    <n v="231"/>
    <n v="72"/>
    <s v="Male"/>
    <s v="Hypertension"/>
    <s v="Medication and Counseling"/>
    <n v="1000"/>
    <n v="17"/>
    <s v="No"/>
    <s v="Stable"/>
    <n v="4"/>
    <x v="1"/>
    <s v="Low"/>
    <s v="Yes"/>
  </r>
  <r>
    <n v="232"/>
    <n v="60"/>
    <s v="Female"/>
    <s v="Appendicitis"/>
    <s v="Appendectomy"/>
    <n v="8000"/>
    <n v="19"/>
    <s v="Yes"/>
    <s v="Recovered"/>
    <n v="3"/>
    <x v="1"/>
    <s v="Medium"/>
    <s v="No"/>
  </r>
  <r>
    <n v="233"/>
    <n v="45"/>
    <s v="Male"/>
    <s v="Fractured Leg"/>
    <s v="Cast and Physical Therapy"/>
    <n v="3000"/>
    <n v="21"/>
    <s v="No"/>
    <s v="Recovered"/>
    <n v="4"/>
    <x v="0"/>
    <s v="Medium"/>
    <s v="Yes"/>
  </r>
  <r>
    <n v="234"/>
    <n v="75"/>
    <s v="Female"/>
    <s v="Heart Attack"/>
    <s v="Cardiac Catheterization"/>
    <n v="18000"/>
    <n v="23"/>
    <s v="Yes"/>
    <s v="Stable"/>
    <n v="2"/>
    <x v="3"/>
    <s v="High"/>
    <s v="No"/>
  </r>
  <r>
    <n v="235"/>
    <n v="28"/>
    <s v="Male"/>
    <s v="Allergic Reaction"/>
    <s v="Epinephrine Injection"/>
    <n v="100"/>
    <n v="16"/>
    <s v="No"/>
    <s v="Recovered"/>
    <n v="5"/>
    <x v="4"/>
    <s v="Low"/>
    <s v="Yes"/>
  </r>
  <r>
    <n v="236"/>
    <n v="52"/>
    <s v="Female"/>
    <s v="Respiratory Infection"/>
    <s v="Antibiotics and Rest"/>
    <n v="800"/>
    <n v="17"/>
    <s v="No"/>
    <s v="Stable"/>
    <n v="4"/>
    <x v="0"/>
    <s v="Low"/>
    <s v="Yes"/>
  </r>
  <r>
    <n v="237"/>
    <n v="67"/>
    <s v="Male"/>
    <s v="Prostate Cancer"/>
    <s v="Radiation Therapy"/>
    <n v="20000"/>
    <n v="24"/>
    <s v="No"/>
    <s v="Recovered"/>
    <n v="3"/>
    <x v="1"/>
    <s v="High"/>
    <s v="No"/>
  </r>
  <r>
    <n v="238"/>
    <n v="35"/>
    <s v="Female"/>
    <s v="Childbirth"/>
    <s v="Delivery and Postnatal Care"/>
    <n v="12000"/>
    <n v="18"/>
    <s v="No"/>
    <s v="Recovered"/>
    <n v="4"/>
    <x v="2"/>
    <s v="High"/>
    <s v="Yes"/>
  </r>
  <r>
    <n v="239"/>
    <n v="50"/>
    <s v="Male"/>
    <s v="Kidney Stones"/>
    <s v="Lithotripsy"/>
    <n v="6000"/>
    <n v="19"/>
    <s v="No"/>
    <s v="Recovered"/>
    <n v="3"/>
    <x v="0"/>
    <s v="Medium"/>
    <s v="No"/>
  </r>
  <r>
    <n v="240"/>
    <n v="60"/>
    <s v="Female"/>
    <s v="Osteoarthritis"/>
    <s v="Physical Therapy and Pain Management"/>
    <n v="4000"/>
    <n v="20"/>
    <s v="No"/>
    <s v="Stable"/>
    <n v="4"/>
    <x v="1"/>
    <s v="Medium"/>
    <s v="Yes"/>
  </r>
  <r>
    <n v="241"/>
    <n v="48"/>
    <s v="Female"/>
    <s v="Heart Disease"/>
    <s v="Angioplasty"/>
    <n v="15000"/>
    <n v="21"/>
    <s v="Yes"/>
    <s v="Recovered"/>
    <n v="4"/>
    <x v="0"/>
    <s v="High"/>
    <s v="Yes"/>
  </r>
  <r>
    <n v="242"/>
    <n v="65"/>
    <s v="Male"/>
    <s v="Diabetes"/>
    <s v="Insulin Therapy"/>
    <n v="2000"/>
    <n v="19"/>
    <s v="No"/>
    <s v="Stable"/>
    <n v="3"/>
    <x v="1"/>
    <s v="Medium"/>
    <s v="No"/>
  </r>
  <r>
    <n v="244"/>
    <n v="70"/>
    <s v="Male"/>
    <s v="Stroke"/>
    <s v="CT Scan and Medication"/>
    <n v="10000"/>
    <n v="23"/>
    <s v="Yes"/>
    <s v="Stable"/>
    <n v="2"/>
    <x v="1"/>
    <s v="High"/>
    <s v="No"/>
  </r>
  <r>
    <n v="245"/>
    <n v="55"/>
    <s v="Female"/>
    <s v="Cancer"/>
    <s v="Surgery and Chemotherapy"/>
    <n v="25000"/>
    <n v="26"/>
    <s v="No"/>
    <s v="Recovered"/>
    <n v="4"/>
    <x v="0"/>
    <s v="High"/>
    <s v="Yes"/>
  </r>
  <r>
    <n v="246"/>
    <n v="68"/>
    <s v="Male"/>
    <s v="Hypertension"/>
    <s v="Medication and Counseling"/>
    <n v="1000"/>
    <n v="18"/>
    <s v="No"/>
    <s v="Stable"/>
    <n v="4"/>
    <x v="1"/>
    <s v="Low"/>
    <s v="Yes"/>
  </r>
  <r>
    <n v="247"/>
    <n v="45"/>
    <s v="Female"/>
    <s v="Appendicitis"/>
    <s v="Appendectomy"/>
    <n v="8000"/>
    <n v="20"/>
    <s v="No"/>
    <s v="Recovered"/>
    <n v="3"/>
    <x v="0"/>
    <s v="Medium"/>
    <s v="No"/>
  </r>
  <r>
    <n v="248"/>
    <n v="40"/>
    <s v="Male"/>
    <s v="Fractured Leg"/>
    <s v="Cast and Physical Therapy"/>
    <n v="3000"/>
    <n v="22"/>
    <s v="No"/>
    <s v="Recovered"/>
    <n v="4"/>
    <x v="2"/>
    <s v="Medium"/>
    <s v="Yes"/>
  </r>
  <r>
    <n v="249"/>
    <n v="78"/>
    <s v="Female"/>
    <s v="Heart Attack"/>
    <s v="Cardiac Catheterization"/>
    <n v="18000"/>
    <n v="24"/>
    <s v="Yes"/>
    <s v="Stable"/>
    <n v="2"/>
    <x v="3"/>
    <s v="High"/>
    <s v="No"/>
  </r>
  <r>
    <n v="250"/>
    <n v="25"/>
    <s v="Male"/>
    <s v="Allergic Reaction"/>
    <s v="Epinephrine Injection"/>
    <n v="100"/>
    <n v="17"/>
    <s v="No"/>
    <s v="Recovered"/>
    <n v="5"/>
    <x v="4"/>
    <s v="Low"/>
    <s v="Yes"/>
  </r>
  <r>
    <n v="251"/>
    <n v="52"/>
    <s v="Female"/>
    <s v="Respiratory Infection"/>
    <s v="Antibiotics and Rest"/>
    <n v="800"/>
    <n v="18"/>
    <s v="No"/>
    <s v="Stable"/>
    <n v="4"/>
    <x v="0"/>
    <s v="Low"/>
    <s v="Yes"/>
  </r>
  <r>
    <n v="252"/>
    <n v="58"/>
    <s v="Male"/>
    <s v="Prostate Cancer"/>
    <s v="Radiation Therapy"/>
    <n v="20000"/>
    <n v="25"/>
    <s v="No"/>
    <s v="Recovered"/>
    <n v="3"/>
    <x v="0"/>
    <s v="High"/>
    <s v="No"/>
  </r>
  <r>
    <n v="253"/>
    <n v="32"/>
    <s v="Female"/>
    <s v="Childbirth"/>
    <s v="Delivery and Postnatal Care"/>
    <n v="12000"/>
    <n v="19"/>
    <s v="No"/>
    <s v="Recovered"/>
    <n v="4"/>
    <x v="2"/>
    <s v="High"/>
    <s v="Yes"/>
  </r>
  <r>
    <n v="254"/>
    <n v="55"/>
    <s v="Male"/>
    <s v="Kidney Stones"/>
    <s v="Lithotripsy"/>
    <n v="6000"/>
    <n v="20"/>
    <s v="No"/>
    <s v="Recovered"/>
    <n v="3"/>
    <x v="0"/>
    <s v="Medium"/>
    <s v="No"/>
  </r>
  <r>
    <n v="255"/>
    <n v="65"/>
    <s v="Female"/>
    <s v="Osteoarthritis"/>
    <s v="Physical Therapy and Pain Management"/>
    <n v="4000"/>
    <n v="21"/>
    <s v="No"/>
    <s v="Stable"/>
    <n v="4"/>
    <x v="1"/>
    <s v="Medium"/>
    <s v="Yes"/>
  </r>
  <r>
    <n v="256"/>
    <n v="55"/>
    <s v="Female"/>
    <s v="Heart Disease"/>
    <s v="Angioplasty"/>
    <n v="15000"/>
    <n v="22"/>
    <s v="Yes"/>
    <s v="Recovered"/>
    <n v="3"/>
    <x v="0"/>
    <s v="High"/>
    <s v="No"/>
  </r>
  <r>
    <n v="257"/>
    <n v="62"/>
    <s v="Male"/>
    <s v="Diabetes"/>
    <s v="Insulin Therapy"/>
    <n v="2000"/>
    <n v="20"/>
    <s v="No"/>
    <s v="Stable"/>
    <n v="4"/>
    <x v="1"/>
    <s v="Medium"/>
    <s v="Yes"/>
  </r>
  <r>
    <n v="258"/>
    <n v="35"/>
    <s v="Female"/>
    <s v="Fractured Arm"/>
    <s v="X-Ray and Splint"/>
    <n v="500"/>
    <n v="18"/>
    <s v="Yes"/>
    <s v="Recovered"/>
    <n v="5"/>
    <x v="2"/>
    <s v="Low"/>
    <s v="Yes"/>
  </r>
  <r>
    <n v="259"/>
    <n v="78"/>
    <s v="Male"/>
    <s v="Stroke"/>
    <s v="CT Scan and Medication"/>
    <n v="10000"/>
    <n v="24"/>
    <s v="No"/>
    <s v="Stable"/>
    <n v="2"/>
    <x v="3"/>
    <s v="High"/>
    <s v="No"/>
  </r>
  <r>
    <n v="260"/>
    <n v="53"/>
    <s v="Female"/>
    <s v="Cancer"/>
    <s v="Surgery and Chemotherapy"/>
    <n v="25000"/>
    <n v="27"/>
    <s v="Yes"/>
    <s v="Recovered"/>
    <n v="4"/>
    <x v="0"/>
    <s v="High"/>
    <s v="Yes"/>
  </r>
  <r>
    <n v="261"/>
    <n v="72"/>
    <s v="Male"/>
    <s v="Hypertension"/>
    <s v="Medication and Counseling"/>
    <n v="1000"/>
    <n v="19"/>
    <s v="No"/>
    <s v="Stable"/>
    <n v="4"/>
    <x v="1"/>
    <s v="Low"/>
    <s v="Yes"/>
  </r>
  <r>
    <n v="262"/>
    <n v="60"/>
    <s v="Female"/>
    <s v="Appendicitis"/>
    <s v="Appendectomy"/>
    <n v="8000"/>
    <n v="21"/>
    <s v="Yes"/>
    <s v="Recovered"/>
    <n v="3"/>
    <x v="1"/>
    <s v="Medium"/>
    <s v="No"/>
  </r>
  <r>
    <n v="263"/>
    <n v="45"/>
    <s v="Male"/>
    <s v="Fractured Leg"/>
    <s v="Cast and Physical Therapy"/>
    <n v="3000"/>
    <n v="23"/>
    <s v="No"/>
    <s v="Recovered"/>
    <n v="4"/>
    <x v="0"/>
    <s v="Medium"/>
    <s v="Yes"/>
  </r>
  <r>
    <n v="264"/>
    <n v="75"/>
    <s v="Female"/>
    <s v="Heart Attack"/>
    <s v="Cardiac Catheterization"/>
    <n v="18000"/>
    <n v="25"/>
    <s v="Yes"/>
    <s v="Stable"/>
    <n v="2"/>
    <x v="3"/>
    <s v="High"/>
    <s v="No"/>
  </r>
  <r>
    <n v="265"/>
    <n v="28"/>
    <s v="Male"/>
    <s v="Allergic Reaction"/>
    <s v="Epinephrine Injection"/>
    <n v="100"/>
    <n v="18"/>
    <s v="No"/>
    <s v="Recovered"/>
    <n v="5"/>
    <x v="4"/>
    <s v="Low"/>
    <s v="Yes"/>
  </r>
  <r>
    <n v="266"/>
    <n v="52"/>
    <s v="Female"/>
    <s v="Respiratory Infection"/>
    <s v="Antibiotics and Rest"/>
    <n v="800"/>
    <n v="19"/>
    <s v="No"/>
    <s v="Stable"/>
    <n v="4"/>
    <x v="0"/>
    <s v="Low"/>
    <s v="Yes"/>
  </r>
  <r>
    <n v="267"/>
    <n v="67"/>
    <s v="Male"/>
    <s v="Prostate Cancer"/>
    <s v="Radiation Therapy"/>
    <n v="20000"/>
    <n v="26"/>
    <s v="No"/>
    <s v="Recovered"/>
    <n v="3"/>
    <x v="1"/>
    <s v="High"/>
    <s v="No"/>
  </r>
  <r>
    <n v="268"/>
    <n v="35"/>
    <s v="Female"/>
    <s v="Childbirth"/>
    <s v="Delivery and Postnatal Care"/>
    <n v="12000"/>
    <n v="20"/>
    <s v="No"/>
    <s v="Recovered"/>
    <n v="4"/>
    <x v="2"/>
    <s v="High"/>
    <s v="Yes"/>
  </r>
  <r>
    <n v="269"/>
    <n v="50"/>
    <s v="Male"/>
    <s v="Kidney Stones"/>
    <s v="Lithotripsy"/>
    <n v="6000"/>
    <n v="21"/>
    <s v="No"/>
    <s v="Recovered"/>
    <n v="3"/>
    <x v="0"/>
    <s v="Medium"/>
    <s v="No"/>
  </r>
  <r>
    <n v="270"/>
    <n v="60"/>
    <s v="Female"/>
    <s v="Osteoarthritis"/>
    <s v="Physical Therapy and Pain Management"/>
    <n v="4000"/>
    <n v="22"/>
    <s v="No"/>
    <s v="Stable"/>
    <n v="4"/>
    <x v="1"/>
    <s v="Medium"/>
    <s v="Yes"/>
  </r>
  <r>
    <n v="271"/>
    <n v="48"/>
    <s v="Female"/>
    <s v="Heart Disease"/>
    <s v="Angioplasty"/>
    <n v="15000"/>
    <n v="23"/>
    <s v="Yes"/>
    <s v="Recovered"/>
    <n v="4"/>
    <x v="0"/>
    <s v="High"/>
    <s v="Yes"/>
  </r>
  <r>
    <n v="272"/>
    <n v="65"/>
    <s v="Male"/>
    <s v="Diabetes"/>
    <s v="Insulin Therapy"/>
    <n v="2000"/>
    <n v="21"/>
    <s v="No"/>
    <s v="Stable"/>
    <n v="3"/>
    <x v="1"/>
    <s v="Medium"/>
    <s v="No"/>
  </r>
  <r>
    <n v="273"/>
    <n v="30"/>
    <s v="Female"/>
    <s v="Fractured Arm"/>
    <s v="X-Ray and Splint"/>
    <n v="500"/>
    <n v="19"/>
    <s v="No"/>
    <s v="Recovered"/>
    <n v="5"/>
    <x v="2"/>
    <s v="Low"/>
    <s v="Yes"/>
  </r>
  <r>
    <n v="274"/>
    <n v="70"/>
    <s v="Male"/>
    <s v="Stroke"/>
    <s v="CT Scan and Medication"/>
    <n v="10000"/>
    <n v="25"/>
    <s v="Yes"/>
    <s v="Stable"/>
    <n v="2"/>
    <x v="1"/>
    <s v="High"/>
    <s v="No"/>
  </r>
  <r>
    <n v="275"/>
    <n v="55"/>
    <s v="Female"/>
    <s v="Cancer"/>
    <s v="Surgery and Chemotherapy"/>
    <n v="25000"/>
    <n v="28"/>
    <s v="No"/>
    <s v="Recovered"/>
    <n v="4"/>
    <x v="0"/>
    <s v="High"/>
    <s v="Yes"/>
  </r>
  <r>
    <n v="276"/>
    <n v="68"/>
    <s v="Male"/>
    <s v="Hypertension"/>
    <s v="Medication and Counseling"/>
    <n v="1000"/>
    <n v="20"/>
    <s v="No"/>
    <s v="Stable"/>
    <n v="4"/>
    <x v="1"/>
    <s v="Low"/>
    <s v="Yes"/>
  </r>
  <r>
    <n v="277"/>
    <n v="45"/>
    <s v="Female"/>
    <s v="Appendicitis"/>
    <s v="Appendectomy"/>
    <n v="8000"/>
    <n v="22"/>
    <s v="No"/>
    <s v="Recovered"/>
    <n v="3"/>
    <x v="0"/>
    <s v="Medium"/>
    <s v="No"/>
  </r>
  <r>
    <n v="278"/>
    <n v="40"/>
    <s v="Male"/>
    <s v="Fractured Leg"/>
    <s v="Cast and Physical Therapy"/>
    <n v="3000"/>
    <n v="24"/>
    <s v="No"/>
    <s v="Recovered"/>
    <n v="4"/>
    <x v="2"/>
    <s v="Medium"/>
    <s v="Yes"/>
  </r>
  <r>
    <n v="279"/>
    <n v="78"/>
    <s v="Female"/>
    <s v="Heart Attack"/>
    <s v="Cardiac Catheterization"/>
    <n v="18000"/>
    <n v="26"/>
    <s v="Yes"/>
    <s v="Stable"/>
    <n v="2"/>
    <x v="3"/>
    <s v="High"/>
    <s v="No"/>
  </r>
  <r>
    <n v="280"/>
    <n v="25"/>
    <s v="Male"/>
    <s v="Allergic Reaction"/>
    <s v="Epinephrine Injection"/>
    <n v="100"/>
    <n v="19"/>
    <s v="No"/>
    <s v="Recovered"/>
    <n v="5"/>
    <x v="4"/>
    <s v="Low"/>
    <s v="Yes"/>
  </r>
  <r>
    <n v="281"/>
    <n v="52"/>
    <s v="Female"/>
    <s v="Respiratory Infection"/>
    <s v="Antibiotics and Rest"/>
    <n v="800"/>
    <n v="20"/>
    <s v="No"/>
    <s v="Stable"/>
    <n v="4"/>
    <x v="0"/>
    <s v="Low"/>
    <s v="Yes"/>
  </r>
  <r>
    <n v="282"/>
    <n v="58"/>
    <s v="Male"/>
    <s v="Prostate Cancer"/>
    <s v="Radiation Therapy"/>
    <n v="20000"/>
    <n v="27"/>
    <s v="No"/>
    <s v="Recovered"/>
    <n v="3"/>
    <x v="0"/>
    <s v="High"/>
    <s v="No"/>
  </r>
  <r>
    <n v="283"/>
    <n v="32"/>
    <s v="Female"/>
    <s v="Childbirth"/>
    <s v="Delivery and Postnatal Care"/>
    <n v="12000"/>
    <n v="21"/>
    <s v="No"/>
    <s v="Recovered"/>
    <n v="4"/>
    <x v="2"/>
    <s v="High"/>
    <s v="Yes"/>
  </r>
  <r>
    <n v="284"/>
    <n v="55"/>
    <s v="Male"/>
    <s v="Kidney Stones"/>
    <s v="Lithotripsy"/>
    <n v="6000"/>
    <n v="22"/>
    <s v="No"/>
    <s v="Recovered"/>
    <n v="3"/>
    <x v="0"/>
    <s v="Medium"/>
    <s v="No"/>
  </r>
  <r>
    <n v="285"/>
    <n v="65"/>
    <s v="Female"/>
    <s v="Osteoarthritis"/>
    <s v="Physical Therapy and Pain Management"/>
    <n v="4000"/>
    <n v="23"/>
    <s v="No"/>
    <s v="Stable"/>
    <n v="4"/>
    <x v="1"/>
    <s v="Medium"/>
    <s v="Yes"/>
  </r>
  <r>
    <n v="286"/>
    <n v="55"/>
    <s v="Female"/>
    <s v="Heart Disease"/>
    <s v="Angioplasty"/>
    <n v="15000"/>
    <n v="24"/>
    <s v="Yes"/>
    <s v="Recovered"/>
    <n v="3"/>
    <x v="0"/>
    <s v="High"/>
    <s v="No"/>
  </r>
  <r>
    <n v="287"/>
    <n v="62"/>
    <s v="Male"/>
    <s v="Diabetes"/>
    <s v="Insulin Therapy"/>
    <n v="2000"/>
    <n v="22"/>
    <s v="No"/>
    <s v="Stable"/>
    <n v="4"/>
    <x v="1"/>
    <s v="Medium"/>
    <s v="Yes"/>
  </r>
  <r>
    <n v="288"/>
    <n v="35"/>
    <s v="Female"/>
    <s v="Fractured Arm"/>
    <s v="X-Ray and Splint"/>
    <n v="500"/>
    <n v="20"/>
    <s v="Yes"/>
    <s v="Recovered"/>
    <n v="5"/>
    <x v="2"/>
    <s v="Low"/>
    <s v="Yes"/>
  </r>
  <r>
    <n v="289"/>
    <n v="78"/>
    <s v="Male"/>
    <s v="Stroke"/>
    <s v="CT Scan and Medication"/>
    <n v="10000"/>
    <n v="26"/>
    <s v="No"/>
    <s v="Stable"/>
    <n v="2"/>
    <x v="3"/>
    <s v="High"/>
    <s v="No"/>
  </r>
  <r>
    <n v="290"/>
    <n v="53"/>
    <s v="Female"/>
    <s v="Cancer"/>
    <s v="Surgery and Chemotherapy"/>
    <n v="25000"/>
    <n v="29"/>
    <s v="Yes"/>
    <s v="Recovered"/>
    <n v="4"/>
    <x v="0"/>
    <s v="High"/>
    <s v="Yes"/>
  </r>
  <r>
    <n v="291"/>
    <n v="72"/>
    <s v="Male"/>
    <s v="Hypertension"/>
    <s v="Medication and Counseling"/>
    <n v="1000"/>
    <n v="21"/>
    <s v="No"/>
    <s v="Stable"/>
    <n v="4"/>
    <x v="1"/>
    <s v="Low"/>
    <s v="Yes"/>
  </r>
  <r>
    <n v="292"/>
    <n v="60"/>
    <s v="Female"/>
    <s v="Appendicitis"/>
    <s v="Appendectomy"/>
    <n v="8000"/>
    <n v="23"/>
    <s v="Yes"/>
    <s v="Recovered"/>
    <n v="3"/>
    <x v="1"/>
    <s v="Medium"/>
    <s v="No"/>
  </r>
  <r>
    <n v="293"/>
    <n v="45"/>
    <s v="Male"/>
    <s v="Fractured Leg"/>
    <s v="Cast and Physical Therapy"/>
    <n v="3000"/>
    <n v="25"/>
    <s v="No"/>
    <s v="Recovered"/>
    <n v="4"/>
    <x v="0"/>
    <s v="Medium"/>
    <s v="Yes"/>
  </r>
  <r>
    <n v="294"/>
    <n v="75"/>
    <s v="Female"/>
    <s v="Heart Attack"/>
    <s v="Cardiac Catheterization"/>
    <n v="18000"/>
    <n v="27"/>
    <s v="Yes"/>
    <s v="Stable"/>
    <n v="2"/>
    <x v="3"/>
    <s v="High"/>
    <s v="No"/>
  </r>
  <r>
    <n v="296"/>
    <n v="52"/>
    <s v="Female"/>
    <s v="Respiratory Infection"/>
    <s v="Antibiotics and Rest"/>
    <n v="800"/>
    <n v="21"/>
    <s v="No"/>
    <s v="Stable"/>
    <n v="4"/>
    <x v="0"/>
    <s v="Low"/>
    <s v="Yes"/>
  </r>
  <r>
    <n v="297"/>
    <n v="67"/>
    <s v="Male"/>
    <s v="Prostate Cancer"/>
    <s v="Radiation Therapy"/>
    <n v="20000"/>
    <n v="28"/>
    <s v="No"/>
    <s v="Recovered"/>
    <n v="3"/>
    <x v="1"/>
    <s v="High"/>
    <s v="No"/>
  </r>
  <r>
    <n v="298"/>
    <n v="35"/>
    <s v="Female"/>
    <s v="Childbirth"/>
    <s v="Delivery and Postnatal Care"/>
    <n v="12000"/>
    <n v="22"/>
    <s v="No"/>
    <s v="Recovered"/>
    <n v="4"/>
    <x v="2"/>
    <s v="High"/>
    <s v="Yes"/>
  </r>
  <r>
    <n v="299"/>
    <n v="50"/>
    <s v="Male"/>
    <s v="Kidney Stones"/>
    <s v="Lithotripsy"/>
    <n v="6000"/>
    <n v="23"/>
    <s v="No"/>
    <s v="Recovered"/>
    <n v="3"/>
    <x v="0"/>
    <s v="Medium"/>
    <s v="No"/>
  </r>
  <r>
    <n v="300"/>
    <n v="60"/>
    <s v="Female"/>
    <s v="Osteoarthritis"/>
    <s v="Physical Therapy and Pain Management"/>
    <n v="4000"/>
    <n v="24"/>
    <s v="No"/>
    <s v="Stable"/>
    <n v="4"/>
    <x v="1"/>
    <s v="Medium"/>
    <s v="Yes"/>
  </r>
  <r>
    <n v="301"/>
    <n v="48"/>
    <s v="Female"/>
    <s v="Heart Disease"/>
    <s v="Angioplasty"/>
    <n v="15000"/>
    <n v="25"/>
    <s v="Yes"/>
    <s v="Recovered"/>
    <n v="4"/>
    <x v="0"/>
    <s v="High"/>
    <s v="Yes"/>
  </r>
  <r>
    <n v="302"/>
    <n v="65"/>
    <s v="Male"/>
    <s v="Diabetes"/>
    <s v="Insulin Therapy"/>
    <n v="2000"/>
    <n v="23"/>
    <s v="No"/>
    <s v="Stable"/>
    <n v="3"/>
    <x v="1"/>
    <s v="Medium"/>
    <s v="No"/>
  </r>
  <r>
    <n v="303"/>
    <n v="30"/>
    <s v="Female"/>
    <s v="Fractured Arm"/>
    <s v="X-Ray and Splint"/>
    <n v="500"/>
    <n v="21"/>
    <s v="No"/>
    <s v="Recovered"/>
    <n v="5"/>
    <x v="2"/>
    <s v="Low"/>
    <s v="Yes"/>
  </r>
  <r>
    <n v="304"/>
    <n v="70"/>
    <s v="Male"/>
    <s v="Stroke"/>
    <s v="CT Scan and Medication"/>
    <n v="10000"/>
    <n v="27"/>
    <s v="Yes"/>
    <s v="Stable"/>
    <n v="2"/>
    <x v="1"/>
    <s v="High"/>
    <s v="No"/>
  </r>
  <r>
    <n v="305"/>
    <n v="55"/>
    <s v="Female"/>
    <s v="Cancer"/>
    <s v="Surgery and Chemotherapy"/>
    <n v="25000"/>
    <n v="30"/>
    <s v="No"/>
    <s v="Recovered"/>
    <n v="4"/>
    <x v="0"/>
    <s v="High"/>
    <s v="Yes"/>
  </r>
  <r>
    <n v="306"/>
    <n v="68"/>
    <s v="Male"/>
    <s v="Hypertension"/>
    <s v="Medication and Counseling"/>
    <n v="1000"/>
    <n v="22"/>
    <s v="No"/>
    <s v="Stable"/>
    <n v="4"/>
    <x v="1"/>
    <s v="Low"/>
    <s v="Yes"/>
  </r>
  <r>
    <n v="307"/>
    <n v="45"/>
    <s v="Female"/>
    <s v="Appendicitis"/>
    <s v="Appendectomy"/>
    <n v="8000"/>
    <n v="24"/>
    <s v="No"/>
    <s v="Recovered"/>
    <n v="3"/>
    <x v="0"/>
    <s v="Medium"/>
    <s v="No"/>
  </r>
  <r>
    <n v="308"/>
    <n v="40"/>
    <s v="Male"/>
    <s v="Fractured Leg"/>
    <s v="Cast and Physical Therapy"/>
    <n v="3000"/>
    <n v="26"/>
    <s v="No"/>
    <s v="Recovered"/>
    <n v="4"/>
    <x v="2"/>
    <s v="Medium"/>
    <s v="Yes"/>
  </r>
  <r>
    <n v="309"/>
    <n v="78"/>
    <s v="Female"/>
    <s v="Heart Attack"/>
    <s v="Cardiac Catheterization"/>
    <n v="18000"/>
    <n v="28"/>
    <s v="Yes"/>
    <s v="Stable"/>
    <n v="2"/>
    <x v="3"/>
    <s v="High"/>
    <s v="No"/>
  </r>
  <r>
    <n v="310"/>
    <n v="25"/>
    <s v="Male"/>
    <s v="Allergic Reaction"/>
    <s v="Epinephrine Injection"/>
    <n v="100"/>
    <n v="21"/>
    <s v="No"/>
    <s v="Recovered"/>
    <n v="5"/>
    <x v="4"/>
    <s v="Low"/>
    <s v="Yes"/>
  </r>
  <r>
    <n v="311"/>
    <n v="52"/>
    <s v="Female"/>
    <s v="Respiratory Infection"/>
    <s v="Antibiotics and Rest"/>
    <n v="800"/>
    <n v="22"/>
    <s v="No"/>
    <s v="Stable"/>
    <n v="4"/>
    <x v="0"/>
    <s v="Low"/>
    <s v="Yes"/>
  </r>
  <r>
    <n v="312"/>
    <n v="58"/>
    <s v="Male"/>
    <s v="Prostate Cancer"/>
    <s v="Radiation Therapy"/>
    <n v="20000"/>
    <n v="29"/>
    <s v="No"/>
    <s v="Recovered"/>
    <n v="3"/>
    <x v="0"/>
    <s v="High"/>
    <s v="No"/>
  </r>
  <r>
    <n v="313"/>
    <n v="32"/>
    <s v="Female"/>
    <s v="Childbirth"/>
    <s v="Delivery and Postnatal Care"/>
    <n v="12000"/>
    <n v="23"/>
    <s v="No"/>
    <s v="Recovered"/>
    <n v="4"/>
    <x v="2"/>
    <s v="High"/>
    <s v="Yes"/>
  </r>
  <r>
    <n v="314"/>
    <n v="55"/>
    <s v="Male"/>
    <s v="Kidney Stones"/>
    <s v="Lithotripsy"/>
    <n v="6000"/>
    <n v="24"/>
    <s v="No"/>
    <s v="Recovered"/>
    <n v="3"/>
    <x v="0"/>
    <s v="Medium"/>
    <s v="No"/>
  </r>
  <r>
    <n v="315"/>
    <n v="65"/>
    <s v="Female"/>
    <s v="Osteoarthritis"/>
    <s v="Physical Therapy and Pain Management"/>
    <n v="4000"/>
    <n v="25"/>
    <s v="No"/>
    <s v="Stable"/>
    <n v="4"/>
    <x v="1"/>
    <s v="Medium"/>
    <s v="Yes"/>
  </r>
  <r>
    <n v="316"/>
    <n v="55"/>
    <s v="Female"/>
    <s v="Heart Disease"/>
    <s v="Angioplasty"/>
    <n v="15000"/>
    <n v="26"/>
    <s v="Yes"/>
    <s v="Recovered"/>
    <n v="3"/>
    <x v="0"/>
    <s v="High"/>
    <s v="No"/>
  </r>
  <r>
    <n v="317"/>
    <n v="62"/>
    <s v="Male"/>
    <s v="Diabetes"/>
    <s v="Insulin Therapy"/>
    <n v="2000"/>
    <n v="24"/>
    <s v="No"/>
    <s v="Stable"/>
    <n v="4"/>
    <x v="1"/>
    <s v="Medium"/>
    <s v="Yes"/>
  </r>
  <r>
    <n v="318"/>
    <n v="35"/>
    <s v="Female"/>
    <s v="Fractured Arm"/>
    <s v="X-Ray and Splint"/>
    <n v="500"/>
    <n v="22"/>
    <s v="Yes"/>
    <s v="Recovered"/>
    <n v="5"/>
    <x v="2"/>
    <s v="Low"/>
    <s v="Yes"/>
  </r>
  <r>
    <n v="319"/>
    <n v="78"/>
    <s v="Male"/>
    <s v="Stroke"/>
    <s v="CT Scan and Medication"/>
    <n v="10000"/>
    <n v="28"/>
    <s v="No"/>
    <s v="Stable"/>
    <n v="2"/>
    <x v="3"/>
    <s v="High"/>
    <s v="No"/>
  </r>
  <r>
    <n v="320"/>
    <n v="53"/>
    <s v="Female"/>
    <s v="Cancer"/>
    <s v="Surgery and Chemotherapy"/>
    <n v="25000"/>
    <n v="31"/>
    <s v="Yes"/>
    <s v="Recovered"/>
    <n v="4"/>
    <x v="0"/>
    <s v="High"/>
    <s v="Yes"/>
  </r>
  <r>
    <n v="321"/>
    <n v="72"/>
    <s v="Male"/>
    <s v="Hypertension"/>
    <s v="Medication and Counseling"/>
    <n v="1000"/>
    <n v="23"/>
    <s v="No"/>
    <s v="Stable"/>
    <n v="4"/>
    <x v="1"/>
    <s v="Low"/>
    <s v="Yes"/>
  </r>
  <r>
    <n v="322"/>
    <n v="60"/>
    <s v="Female"/>
    <s v="Appendicitis"/>
    <s v="Appendectomy"/>
    <n v="8000"/>
    <n v="25"/>
    <s v="Yes"/>
    <s v="Recovered"/>
    <n v="3"/>
    <x v="1"/>
    <s v="Medium"/>
    <s v="No"/>
  </r>
  <r>
    <n v="323"/>
    <n v="45"/>
    <s v="Male"/>
    <s v="Fractured Leg"/>
    <s v="Cast and Physical Therapy"/>
    <n v="3000"/>
    <n v="27"/>
    <s v="No"/>
    <s v="Recovered"/>
    <n v="4"/>
    <x v="0"/>
    <s v="Medium"/>
    <s v="Yes"/>
  </r>
  <r>
    <n v="324"/>
    <n v="75"/>
    <s v="Female"/>
    <s v="Heart Attack"/>
    <s v="Cardiac Catheterization"/>
    <n v="18000"/>
    <n v="29"/>
    <s v="Yes"/>
    <s v="Stable"/>
    <n v="2"/>
    <x v="3"/>
    <s v="High"/>
    <s v="No"/>
  </r>
  <r>
    <n v="325"/>
    <n v="28"/>
    <s v="Male"/>
    <s v="Allergic Reaction"/>
    <s v="Epinephrine Injection"/>
    <n v="100"/>
    <n v="22"/>
    <s v="No"/>
    <s v="Recovered"/>
    <n v="5"/>
    <x v="4"/>
    <s v="Low"/>
    <s v="Yes"/>
  </r>
  <r>
    <n v="326"/>
    <n v="52"/>
    <s v="Female"/>
    <s v="Respiratory Infection"/>
    <s v="Antibiotics and Rest"/>
    <n v="800"/>
    <n v="23"/>
    <s v="No"/>
    <s v="Stable"/>
    <n v="4"/>
    <x v="0"/>
    <s v="Low"/>
    <s v="Yes"/>
  </r>
  <r>
    <n v="327"/>
    <n v="67"/>
    <s v="Male"/>
    <s v="Prostate Cancer"/>
    <s v="Radiation Therapy"/>
    <n v="20000"/>
    <n v="30"/>
    <s v="No"/>
    <s v="Recovered"/>
    <n v="3"/>
    <x v="1"/>
    <s v="High"/>
    <s v="No"/>
  </r>
  <r>
    <n v="328"/>
    <n v="35"/>
    <s v="Female"/>
    <s v="Childbirth"/>
    <s v="Delivery and Postnatal Care"/>
    <n v="12000"/>
    <n v="24"/>
    <s v="No"/>
    <s v="Recovered"/>
    <n v="4"/>
    <x v="2"/>
    <s v="High"/>
    <s v="Yes"/>
  </r>
  <r>
    <n v="329"/>
    <n v="50"/>
    <s v="Male"/>
    <s v="Kidney Stones"/>
    <s v="Lithotripsy"/>
    <n v="6000"/>
    <n v="25"/>
    <s v="No"/>
    <s v="Recovered"/>
    <n v="3"/>
    <x v="0"/>
    <s v="Medium"/>
    <s v="No"/>
  </r>
  <r>
    <n v="330"/>
    <n v="60"/>
    <s v="Female"/>
    <s v="Osteoarthritis"/>
    <s v="Physical Therapy and Pain Management"/>
    <n v="4000"/>
    <n v="26"/>
    <s v="No"/>
    <s v="Stable"/>
    <n v="4"/>
    <x v="1"/>
    <s v="Medium"/>
    <s v="Yes"/>
  </r>
  <r>
    <n v="331"/>
    <n v="48"/>
    <s v="Female"/>
    <s v="Heart Disease"/>
    <s v="Angioplasty"/>
    <n v="15000"/>
    <n v="27"/>
    <s v="Yes"/>
    <s v="Recovered"/>
    <n v="4"/>
    <x v="0"/>
    <s v="High"/>
    <s v="Yes"/>
  </r>
  <r>
    <n v="332"/>
    <n v="65"/>
    <s v="Male"/>
    <s v="Diabetes"/>
    <s v="Insulin Therapy"/>
    <n v="2000"/>
    <n v="25"/>
    <s v="No"/>
    <s v="Stable"/>
    <n v="3"/>
    <x v="1"/>
    <s v="Medium"/>
    <s v="No"/>
  </r>
  <r>
    <n v="333"/>
    <n v="30"/>
    <s v="Female"/>
    <s v="Fractured Arm"/>
    <s v="X-Ray and Splint"/>
    <n v="500"/>
    <n v="23"/>
    <s v="No"/>
    <s v="Recovered"/>
    <n v="5"/>
    <x v="2"/>
    <s v="Low"/>
    <s v="Yes"/>
  </r>
  <r>
    <n v="334"/>
    <n v="70"/>
    <s v="Male"/>
    <s v="Stroke"/>
    <s v="CT Scan and Medication"/>
    <n v="10000"/>
    <n v="29"/>
    <s v="Yes"/>
    <s v="Stable"/>
    <n v="2"/>
    <x v="1"/>
    <s v="High"/>
    <s v="No"/>
  </r>
  <r>
    <n v="335"/>
    <n v="55"/>
    <s v="Female"/>
    <s v="Cancer"/>
    <s v="Surgery and Chemotherapy"/>
    <n v="25000"/>
    <n v="32"/>
    <s v="No"/>
    <s v="Recovered"/>
    <n v="4"/>
    <x v="0"/>
    <s v="High"/>
    <s v="Yes"/>
  </r>
  <r>
    <n v="336"/>
    <n v="68"/>
    <s v="Male"/>
    <s v="Hypertension"/>
    <s v="Medication and Counseling"/>
    <n v="1000"/>
    <n v="24"/>
    <s v="No"/>
    <s v="Stable"/>
    <n v="4"/>
    <x v="1"/>
    <s v="Low"/>
    <s v="Yes"/>
  </r>
  <r>
    <n v="337"/>
    <n v="45"/>
    <s v="Female"/>
    <s v="Appendicitis"/>
    <s v="Appendectomy"/>
    <n v="8000"/>
    <n v="26"/>
    <s v="No"/>
    <s v="Recovered"/>
    <n v="3"/>
    <x v="0"/>
    <s v="Medium"/>
    <s v="No"/>
  </r>
  <r>
    <n v="338"/>
    <n v="40"/>
    <s v="Male"/>
    <s v="Fractured Leg"/>
    <s v="Cast and Physical Therapy"/>
    <n v="3000"/>
    <n v="28"/>
    <s v="No"/>
    <s v="Recovered"/>
    <n v="4"/>
    <x v="2"/>
    <s v="Medium"/>
    <s v="Yes"/>
  </r>
  <r>
    <n v="339"/>
    <n v="78"/>
    <s v="Female"/>
    <s v="Heart Attack"/>
    <s v="Cardiac Catheterization"/>
    <n v="18000"/>
    <n v="30"/>
    <s v="Yes"/>
    <s v="Stable"/>
    <n v="2"/>
    <x v="3"/>
    <s v="High"/>
    <s v="No"/>
  </r>
  <r>
    <n v="340"/>
    <n v="25"/>
    <s v="Male"/>
    <s v="Allergic Reaction"/>
    <s v="Epinephrine Injection"/>
    <n v="100"/>
    <n v="23"/>
    <s v="No"/>
    <s v="Recovered"/>
    <n v="5"/>
    <x v="4"/>
    <s v="Low"/>
    <s v="Yes"/>
  </r>
  <r>
    <n v="341"/>
    <n v="52"/>
    <s v="Female"/>
    <s v="Respiratory Infection"/>
    <s v="Antibiotics and Rest"/>
    <n v="800"/>
    <n v="24"/>
    <s v="No"/>
    <s v="Stable"/>
    <n v="4"/>
    <x v="0"/>
    <s v="Low"/>
    <s v="Yes"/>
  </r>
  <r>
    <n v="342"/>
    <n v="58"/>
    <s v="Male"/>
    <s v="Prostate Cancer"/>
    <s v="Radiation Therapy"/>
    <n v="20000"/>
    <n v="31"/>
    <s v="No"/>
    <s v="Recovered"/>
    <n v="3"/>
    <x v="0"/>
    <s v="High"/>
    <s v="No"/>
  </r>
  <r>
    <n v="343"/>
    <n v="32"/>
    <s v="Female"/>
    <s v="Childbirth"/>
    <s v="Delivery and Postnatal Care"/>
    <n v="12000"/>
    <n v="25"/>
    <s v="No"/>
    <s v="Recovered"/>
    <n v="4"/>
    <x v="2"/>
    <s v="High"/>
    <s v="Yes"/>
  </r>
  <r>
    <n v="344"/>
    <n v="55"/>
    <s v="Male"/>
    <s v="Kidney Stones"/>
    <s v="Lithotripsy"/>
    <n v="6000"/>
    <n v="26"/>
    <s v="No"/>
    <s v="Recovered"/>
    <n v="3"/>
    <x v="0"/>
    <s v="Medium"/>
    <s v="No"/>
  </r>
  <r>
    <n v="345"/>
    <n v="65"/>
    <s v="Female"/>
    <s v="Osteoarthritis"/>
    <s v="Physical Therapy and Pain Management"/>
    <n v="4000"/>
    <n v="27"/>
    <s v="No"/>
    <s v="Stable"/>
    <n v="4"/>
    <x v="1"/>
    <s v="Medium"/>
    <s v="Yes"/>
  </r>
  <r>
    <n v="346"/>
    <n v="55"/>
    <s v="Female"/>
    <s v="Heart Disease"/>
    <s v="Angioplasty"/>
    <n v="15000"/>
    <n v="28"/>
    <s v="Yes"/>
    <s v="Recovered"/>
    <n v="3"/>
    <x v="0"/>
    <s v="High"/>
    <s v="No"/>
  </r>
  <r>
    <n v="347"/>
    <n v="62"/>
    <s v="Male"/>
    <s v="Diabetes"/>
    <s v="Insulin Therapy"/>
    <n v="2000"/>
    <n v="26"/>
    <s v="No"/>
    <s v="Stable"/>
    <n v="4"/>
    <x v="1"/>
    <s v="Medium"/>
    <s v="Yes"/>
  </r>
  <r>
    <n v="348"/>
    <n v="35"/>
    <s v="Female"/>
    <s v="Fractured Arm"/>
    <s v="X-Ray and Splint"/>
    <n v="500"/>
    <n v="24"/>
    <s v="Yes"/>
    <s v="Recovered"/>
    <n v="5"/>
    <x v="2"/>
    <s v="Low"/>
    <s v="Yes"/>
  </r>
  <r>
    <n v="349"/>
    <n v="78"/>
    <s v="Male"/>
    <s v="Stroke"/>
    <s v="CT Scan and Medication"/>
    <n v="10000"/>
    <n v="30"/>
    <s v="No"/>
    <s v="Stable"/>
    <n v="2"/>
    <x v="3"/>
    <s v="High"/>
    <s v="No"/>
  </r>
  <r>
    <n v="350"/>
    <n v="53"/>
    <s v="Female"/>
    <s v="Cancer"/>
    <s v="Surgery and Chemotherapy"/>
    <n v="25000"/>
    <n v="33"/>
    <s v="Yes"/>
    <s v="Recovered"/>
    <n v="4"/>
    <x v="0"/>
    <s v="High"/>
    <s v="Yes"/>
  </r>
  <r>
    <n v="351"/>
    <n v="72"/>
    <s v="Male"/>
    <s v="Hypertension"/>
    <s v="Medication and Counseling"/>
    <n v="1000"/>
    <n v="25"/>
    <s v="No"/>
    <s v="Stable"/>
    <n v="4"/>
    <x v="1"/>
    <s v="Low"/>
    <s v="Yes"/>
  </r>
  <r>
    <n v="352"/>
    <n v="60"/>
    <s v="Female"/>
    <s v="Appendicitis"/>
    <s v="Appendectomy"/>
    <n v="8000"/>
    <n v="27"/>
    <s v="Yes"/>
    <s v="Recovered"/>
    <n v="3"/>
    <x v="1"/>
    <s v="Medium"/>
    <s v="No"/>
  </r>
  <r>
    <n v="353"/>
    <n v="45"/>
    <s v="Male"/>
    <s v="Fractured Leg"/>
    <s v="Cast and Physical Therapy"/>
    <n v="3000"/>
    <n v="29"/>
    <s v="No"/>
    <s v="Recovered"/>
    <n v="4"/>
    <x v="0"/>
    <s v="Medium"/>
    <s v="Yes"/>
  </r>
  <r>
    <n v="354"/>
    <n v="75"/>
    <s v="Female"/>
    <s v="Heart Attack"/>
    <s v="Cardiac Catheterization"/>
    <n v="18000"/>
    <n v="31"/>
    <s v="Yes"/>
    <s v="Stable"/>
    <n v="2"/>
    <x v="3"/>
    <s v="High"/>
    <s v="No"/>
  </r>
  <r>
    <n v="355"/>
    <n v="28"/>
    <s v="Male"/>
    <s v="Allergic Reaction"/>
    <s v="Epinephrine Injection"/>
    <n v="100"/>
    <n v="24"/>
    <s v="No"/>
    <s v="Recovered"/>
    <n v="5"/>
    <x v="4"/>
    <s v="Low"/>
    <s v="Yes"/>
  </r>
  <r>
    <n v="357"/>
    <n v="67"/>
    <s v="Male"/>
    <s v="Prostate Cancer"/>
    <s v="Radiation Therapy"/>
    <n v="20000"/>
    <n v="32"/>
    <s v="No"/>
    <s v="Recovered"/>
    <n v="3"/>
    <x v="1"/>
    <s v="High"/>
    <s v="No"/>
  </r>
  <r>
    <n v="358"/>
    <n v="35"/>
    <s v="Female"/>
    <s v="Childbirth"/>
    <s v="Delivery and Postnatal Care"/>
    <n v="12000"/>
    <n v="26"/>
    <s v="No"/>
    <s v="Recovered"/>
    <n v="4"/>
    <x v="2"/>
    <s v="High"/>
    <s v="Yes"/>
  </r>
  <r>
    <n v="359"/>
    <n v="50"/>
    <s v="Male"/>
    <s v="Kidney Stones"/>
    <s v="Lithotripsy"/>
    <n v="6000"/>
    <n v="27"/>
    <s v="No"/>
    <s v="Recovered"/>
    <n v="3"/>
    <x v="0"/>
    <s v="Medium"/>
    <s v="No"/>
  </r>
  <r>
    <n v="360"/>
    <n v="60"/>
    <s v="Female"/>
    <s v="Osteoarthritis"/>
    <s v="Physical Therapy and Pain Management"/>
    <n v="4000"/>
    <n v="28"/>
    <s v="No"/>
    <s v="Stable"/>
    <n v="4"/>
    <x v="1"/>
    <s v="Medium"/>
    <s v="Yes"/>
  </r>
  <r>
    <n v="361"/>
    <n v="48"/>
    <s v="Female"/>
    <s v="Heart Disease"/>
    <s v="Angioplasty"/>
    <n v="15000"/>
    <n v="29"/>
    <s v="Yes"/>
    <s v="Recovered"/>
    <n v="4"/>
    <x v="0"/>
    <s v="High"/>
    <s v="Yes"/>
  </r>
  <r>
    <n v="362"/>
    <n v="65"/>
    <s v="Male"/>
    <s v="Diabetes"/>
    <s v="Insulin Therapy"/>
    <n v="2000"/>
    <n v="27"/>
    <s v="No"/>
    <s v="Stable"/>
    <n v="3"/>
    <x v="1"/>
    <s v="Medium"/>
    <s v="No"/>
  </r>
  <r>
    <n v="363"/>
    <n v="30"/>
    <s v="Female"/>
    <s v="Fractured Arm"/>
    <s v="X-Ray and Splint"/>
    <n v="500"/>
    <n v="25"/>
    <s v="No"/>
    <s v="Recovered"/>
    <n v="5"/>
    <x v="2"/>
    <s v="Low"/>
    <s v="Yes"/>
  </r>
  <r>
    <n v="364"/>
    <n v="70"/>
    <s v="Male"/>
    <s v="Stroke"/>
    <s v="CT Scan and Medication"/>
    <n v="10000"/>
    <n v="31"/>
    <s v="Yes"/>
    <s v="Stable"/>
    <n v="2"/>
    <x v="1"/>
    <s v="High"/>
    <s v="No"/>
  </r>
  <r>
    <n v="365"/>
    <n v="55"/>
    <s v="Female"/>
    <s v="Cancer"/>
    <s v="Surgery and Chemotherapy"/>
    <n v="25000"/>
    <n v="34"/>
    <s v="No"/>
    <s v="Recovered"/>
    <n v="4"/>
    <x v="0"/>
    <s v="High"/>
    <s v="Yes"/>
  </r>
  <r>
    <n v="366"/>
    <n v="68"/>
    <s v="Male"/>
    <s v="Hypertension"/>
    <s v="Medication and Counseling"/>
    <n v="1000"/>
    <n v="26"/>
    <s v="No"/>
    <s v="Stable"/>
    <n v="4"/>
    <x v="1"/>
    <s v="Low"/>
    <s v="Yes"/>
  </r>
  <r>
    <n v="367"/>
    <n v="45"/>
    <s v="Female"/>
    <s v="Appendicitis"/>
    <s v="Appendectomy"/>
    <n v="8000"/>
    <n v="28"/>
    <s v="No"/>
    <s v="Recovered"/>
    <n v="3"/>
    <x v="0"/>
    <s v="Medium"/>
    <s v="No"/>
  </r>
  <r>
    <n v="368"/>
    <n v="40"/>
    <s v="Male"/>
    <s v="Fractured Leg"/>
    <s v="Cast and Physical Therapy"/>
    <n v="3000"/>
    <n v="30"/>
    <s v="No"/>
    <s v="Recovered"/>
    <n v="4"/>
    <x v="2"/>
    <s v="Medium"/>
    <s v="Yes"/>
  </r>
  <r>
    <n v="369"/>
    <n v="78"/>
    <s v="Female"/>
    <s v="Heart Attack"/>
    <s v="Cardiac Catheterization"/>
    <n v="18000"/>
    <n v="32"/>
    <s v="Yes"/>
    <s v="Stable"/>
    <n v="2"/>
    <x v="3"/>
    <s v="High"/>
    <s v="No"/>
  </r>
  <r>
    <n v="370"/>
    <n v="25"/>
    <s v="Male"/>
    <s v="Allergic Reaction"/>
    <s v="Epinephrine Injection"/>
    <n v="100"/>
    <n v="25"/>
    <s v="No"/>
    <s v="Recovered"/>
    <n v="5"/>
    <x v="4"/>
    <s v="Low"/>
    <s v="Yes"/>
  </r>
  <r>
    <n v="371"/>
    <n v="52"/>
    <s v="Female"/>
    <s v="Respiratory Infection"/>
    <s v="Antibiotics and Rest"/>
    <n v="800"/>
    <n v="26"/>
    <s v="No"/>
    <s v="Stable"/>
    <n v="4"/>
    <x v="0"/>
    <s v="Low"/>
    <s v="Yes"/>
  </r>
  <r>
    <n v="372"/>
    <n v="58"/>
    <s v="Male"/>
    <s v="Prostate Cancer"/>
    <s v="Radiation Therapy"/>
    <n v="20000"/>
    <n v="33"/>
    <s v="No"/>
    <s v="Recovered"/>
    <n v="3"/>
    <x v="0"/>
    <s v="High"/>
    <s v="No"/>
  </r>
  <r>
    <n v="373"/>
    <n v="32"/>
    <s v="Female"/>
    <s v="Childbirth"/>
    <s v="Delivery and Postnatal Care"/>
    <n v="12000"/>
    <n v="27"/>
    <s v="No"/>
    <s v="Recovered"/>
    <n v="4"/>
    <x v="2"/>
    <s v="High"/>
    <s v="Yes"/>
  </r>
  <r>
    <n v="374"/>
    <n v="55"/>
    <s v="Male"/>
    <s v="Kidney Stones"/>
    <s v="Lithotripsy"/>
    <n v="6000"/>
    <n v="28"/>
    <s v="No"/>
    <s v="Recovered"/>
    <n v="3"/>
    <x v="0"/>
    <s v="Medium"/>
    <s v="No"/>
  </r>
  <r>
    <n v="375"/>
    <n v="65"/>
    <s v="Female"/>
    <s v="Osteoarthritis"/>
    <s v="Physical Therapy and Pain Management"/>
    <n v="4000"/>
    <n v="29"/>
    <s v="No"/>
    <s v="Stable"/>
    <n v="4"/>
    <x v="1"/>
    <s v="Medium"/>
    <s v="Yes"/>
  </r>
  <r>
    <n v="376"/>
    <n v="55"/>
    <s v="Female"/>
    <s v="Heart Disease"/>
    <s v="Angioplasty"/>
    <n v="15000"/>
    <n v="30"/>
    <s v="Yes"/>
    <s v="Recovered"/>
    <n v="3"/>
    <x v="0"/>
    <s v="High"/>
    <s v="No"/>
  </r>
  <r>
    <n v="377"/>
    <n v="62"/>
    <s v="Male"/>
    <s v="Diabetes"/>
    <s v="Insulin Therapy"/>
    <n v="2000"/>
    <n v="28"/>
    <s v="No"/>
    <s v="Stable"/>
    <n v="4"/>
    <x v="1"/>
    <s v="Medium"/>
    <s v="Yes"/>
  </r>
  <r>
    <n v="378"/>
    <n v="35"/>
    <s v="Female"/>
    <s v="Fractured Arm"/>
    <s v="X-Ray and Splint"/>
    <n v="500"/>
    <n v="26"/>
    <s v="Yes"/>
    <s v="Recovered"/>
    <n v="5"/>
    <x v="2"/>
    <s v="Low"/>
    <s v="Yes"/>
  </r>
  <r>
    <n v="379"/>
    <n v="78"/>
    <s v="Male"/>
    <s v="Stroke"/>
    <s v="CT Scan and Medication"/>
    <n v="10000"/>
    <n v="33"/>
    <s v="No"/>
    <s v="Stable"/>
    <n v="2"/>
    <x v="3"/>
    <s v="High"/>
    <s v="No"/>
  </r>
  <r>
    <n v="380"/>
    <n v="53"/>
    <s v="Female"/>
    <s v="Cancer"/>
    <s v="Surgery and Chemotherapy"/>
    <n v="25000"/>
    <n v="35"/>
    <s v="Yes"/>
    <s v="Recovered"/>
    <n v="4"/>
    <x v="0"/>
    <s v="High"/>
    <s v="Yes"/>
  </r>
  <r>
    <n v="381"/>
    <n v="72"/>
    <s v="Male"/>
    <s v="Hypertension"/>
    <s v="Medication and Counseling"/>
    <n v="1000"/>
    <n v="27"/>
    <s v="No"/>
    <s v="Stable"/>
    <n v="4"/>
    <x v="1"/>
    <s v="Low"/>
    <s v="Yes"/>
  </r>
  <r>
    <n v="382"/>
    <n v="60"/>
    <s v="Female"/>
    <s v="Appendicitis"/>
    <s v="Appendectomy"/>
    <n v="8000"/>
    <n v="29"/>
    <s v="Yes"/>
    <s v="Recovered"/>
    <n v="3"/>
    <x v="1"/>
    <s v="Medium"/>
    <s v="No"/>
  </r>
  <r>
    <n v="383"/>
    <n v="45"/>
    <s v="Male"/>
    <s v="Fractured Leg"/>
    <s v="Cast and Physical Therapy"/>
    <n v="3000"/>
    <n v="31"/>
    <s v="No"/>
    <s v="Recovered"/>
    <n v="4"/>
    <x v="0"/>
    <s v="Medium"/>
    <s v="Yes"/>
  </r>
  <r>
    <n v="384"/>
    <n v="75"/>
    <s v="Female"/>
    <s v="Heart Attack"/>
    <s v="Cardiac Catheterization"/>
    <n v="18000"/>
    <n v="33"/>
    <s v="Yes"/>
    <s v="Stable"/>
    <n v="2"/>
    <x v="3"/>
    <s v="High"/>
    <s v="No"/>
  </r>
  <r>
    <n v="385"/>
    <n v="28"/>
    <s v="Male"/>
    <s v="Allergic Reaction"/>
    <s v="Epinephrine Injection"/>
    <n v="100"/>
    <n v="26"/>
    <s v="No"/>
    <s v="Recovered"/>
    <n v="5"/>
    <x v="4"/>
    <s v="Low"/>
    <s v="Yes"/>
  </r>
  <r>
    <n v="386"/>
    <n v="52"/>
    <s v="Female"/>
    <s v="Respiratory Infection"/>
    <s v="Antibiotics and Rest"/>
    <n v="800"/>
    <n v="27"/>
    <s v="No"/>
    <s v="Stable"/>
    <n v="4"/>
    <x v="0"/>
    <s v="Low"/>
    <s v="Yes"/>
  </r>
  <r>
    <n v="387"/>
    <n v="67"/>
    <s v="Male"/>
    <s v="Prostate Cancer"/>
    <s v="Radiation Therapy"/>
    <n v="20000"/>
    <n v="34"/>
    <s v="No"/>
    <s v="Recovered"/>
    <n v="3"/>
    <x v="1"/>
    <s v="High"/>
    <s v="No"/>
  </r>
  <r>
    <n v="388"/>
    <n v="35"/>
    <s v="Female"/>
    <s v="Childbirth"/>
    <s v="Delivery and Postnatal Care"/>
    <n v="12000"/>
    <n v="28"/>
    <s v="No"/>
    <s v="Recovered"/>
    <n v="4"/>
    <x v="2"/>
    <s v="High"/>
    <s v="Yes"/>
  </r>
  <r>
    <n v="389"/>
    <n v="50"/>
    <s v="Male"/>
    <s v="Kidney Stones"/>
    <s v="Lithotripsy"/>
    <n v="6000"/>
    <n v="29"/>
    <s v="No"/>
    <s v="Recovered"/>
    <n v="3"/>
    <x v="0"/>
    <s v="Medium"/>
    <s v="No"/>
  </r>
  <r>
    <n v="390"/>
    <n v="60"/>
    <s v="Female"/>
    <s v="Osteoarthritis"/>
    <s v="Physical Therapy and Pain Management"/>
    <n v="4000"/>
    <n v="30"/>
    <s v="No"/>
    <s v="Stable"/>
    <n v="4"/>
    <x v="1"/>
    <s v="Medium"/>
    <s v="Yes"/>
  </r>
  <r>
    <n v="391"/>
    <n v="48"/>
    <s v="Female"/>
    <s v="Heart Disease"/>
    <s v="Angioplasty"/>
    <n v="15000"/>
    <n v="31"/>
    <s v="Yes"/>
    <s v="Recovered"/>
    <n v="4"/>
    <x v="0"/>
    <s v="High"/>
    <s v="Yes"/>
  </r>
  <r>
    <n v="392"/>
    <n v="65"/>
    <s v="Male"/>
    <s v="Diabetes"/>
    <s v="Insulin Therapy"/>
    <n v="2000"/>
    <n v="29"/>
    <s v="No"/>
    <s v="Stable"/>
    <n v="3"/>
    <x v="1"/>
    <s v="Medium"/>
    <s v="No"/>
  </r>
  <r>
    <n v="393"/>
    <n v="30"/>
    <s v="Female"/>
    <s v="Fractured Arm"/>
    <s v="X-Ray and Splint"/>
    <n v="500"/>
    <n v="27"/>
    <s v="No"/>
    <s v="Recovered"/>
    <n v="5"/>
    <x v="2"/>
    <s v="Low"/>
    <s v="Yes"/>
  </r>
  <r>
    <n v="394"/>
    <n v="70"/>
    <s v="Male"/>
    <s v="Stroke"/>
    <s v="CT Scan and Medication"/>
    <n v="10000"/>
    <n v="34"/>
    <s v="Yes"/>
    <s v="Stable"/>
    <n v="2"/>
    <x v="1"/>
    <s v="High"/>
    <s v="No"/>
  </r>
  <r>
    <n v="395"/>
    <n v="55"/>
    <s v="Female"/>
    <s v="Cancer"/>
    <s v="Surgery and Chemotherapy"/>
    <n v="25000"/>
    <n v="36"/>
    <s v="No"/>
    <s v="Recovered"/>
    <n v="4"/>
    <x v="0"/>
    <s v="High"/>
    <s v="Yes"/>
  </r>
  <r>
    <n v="396"/>
    <n v="68"/>
    <s v="Male"/>
    <s v="Hypertension"/>
    <s v="Medication and Counseling"/>
    <n v="1000"/>
    <n v="28"/>
    <s v="No"/>
    <s v="Stable"/>
    <n v="4"/>
    <x v="1"/>
    <s v="Low"/>
    <s v="Yes"/>
  </r>
  <r>
    <n v="397"/>
    <n v="45"/>
    <s v="Female"/>
    <s v="Appendicitis"/>
    <s v="Appendectomy"/>
    <n v="8000"/>
    <n v="30"/>
    <s v="No"/>
    <s v="Recovered"/>
    <n v="3"/>
    <x v="0"/>
    <s v="Medium"/>
    <s v="No"/>
  </r>
  <r>
    <n v="398"/>
    <n v="40"/>
    <s v="Male"/>
    <s v="Fractured Leg"/>
    <s v="Cast and Physical Therapy"/>
    <n v="3000"/>
    <n v="32"/>
    <s v="No"/>
    <s v="Recovered"/>
    <n v="4"/>
    <x v="2"/>
    <s v="Medium"/>
    <s v="Yes"/>
  </r>
  <r>
    <n v="399"/>
    <n v="78"/>
    <s v="Female"/>
    <s v="Heart Attack"/>
    <s v="Cardiac Catheterization"/>
    <n v="18000"/>
    <n v="34"/>
    <s v="Yes"/>
    <s v="Stable"/>
    <n v="2"/>
    <x v="3"/>
    <s v="High"/>
    <s v="No"/>
  </r>
  <r>
    <n v="400"/>
    <n v="25"/>
    <s v="Male"/>
    <s v="Allergic Reaction"/>
    <s v="Epinephrine Injection"/>
    <n v="100"/>
    <n v="27"/>
    <s v="No"/>
    <s v="Recovered"/>
    <n v="5"/>
    <x v="4"/>
    <s v="Low"/>
    <s v="Yes"/>
  </r>
  <r>
    <n v="401"/>
    <n v="52"/>
    <s v="Female"/>
    <s v="Respiratory Infection"/>
    <s v="Antibiotics and Rest"/>
    <n v="800"/>
    <n v="28"/>
    <s v="No"/>
    <s v="Stable"/>
    <n v="4"/>
    <x v="0"/>
    <s v="Low"/>
    <s v="Yes"/>
  </r>
  <r>
    <n v="402"/>
    <n v="58"/>
    <s v="Male"/>
    <s v="Prostate Cancer"/>
    <s v="Radiation Therapy"/>
    <n v="20000"/>
    <n v="35"/>
    <s v="No"/>
    <s v="Recovered"/>
    <n v="3"/>
    <x v="0"/>
    <s v="High"/>
    <s v="No"/>
  </r>
  <r>
    <n v="403"/>
    <n v="32"/>
    <s v="Female"/>
    <s v="Childbirth"/>
    <s v="Delivery and Postnatal Care"/>
    <n v="12000"/>
    <n v="29"/>
    <s v="No"/>
    <s v="Recovered"/>
    <n v="4"/>
    <x v="2"/>
    <s v="High"/>
    <s v="Yes"/>
  </r>
  <r>
    <n v="404"/>
    <n v="55"/>
    <s v="Male"/>
    <s v="Kidney Stones"/>
    <s v="Lithotripsy"/>
    <n v="6000"/>
    <n v="30"/>
    <s v="No"/>
    <s v="Recovered"/>
    <n v="3"/>
    <x v="0"/>
    <s v="Medium"/>
    <s v="No"/>
  </r>
  <r>
    <n v="405"/>
    <n v="65"/>
    <s v="Female"/>
    <s v="Osteoarthritis"/>
    <s v="Physical Therapy and Pain Management"/>
    <n v="4000"/>
    <n v="31"/>
    <s v="No"/>
    <s v="Stable"/>
    <n v="4"/>
    <x v="1"/>
    <s v="Medium"/>
    <s v="Yes"/>
  </r>
  <r>
    <n v="406"/>
    <n v="55"/>
    <s v="Female"/>
    <s v="Heart Disease"/>
    <s v="Angioplasty"/>
    <n v="15000"/>
    <n v="32"/>
    <s v="Yes"/>
    <s v="Recovered"/>
    <n v="3"/>
    <x v="0"/>
    <s v="High"/>
    <s v="No"/>
  </r>
  <r>
    <n v="407"/>
    <n v="62"/>
    <s v="Male"/>
    <s v="Diabetes"/>
    <s v="Insulin Therapy"/>
    <n v="2000"/>
    <n v="30"/>
    <s v="No"/>
    <s v="Stable"/>
    <n v="4"/>
    <x v="1"/>
    <s v="Medium"/>
    <s v="Yes"/>
  </r>
  <r>
    <n v="408"/>
    <n v="35"/>
    <s v="Female"/>
    <s v="Fractured Arm"/>
    <s v="X-Ray and Splint"/>
    <n v="500"/>
    <n v="28"/>
    <s v="Yes"/>
    <s v="Recovered"/>
    <n v="5"/>
    <x v="2"/>
    <s v="Low"/>
    <s v="Yes"/>
  </r>
  <r>
    <n v="409"/>
    <n v="78"/>
    <s v="Male"/>
    <s v="Stroke"/>
    <s v="CT Scan and Medication"/>
    <n v="10000"/>
    <n v="35"/>
    <s v="No"/>
    <s v="Stable"/>
    <n v="2"/>
    <x v="3"/>
    <s v="High"/>
    <s v="No"/>
  </r>
  <r>
    <n v="410"/>
    <n v="53"/>
    <s v="Female"/>
    <s v="Cancer"/>
    <s v="Surgery and Chemotherapy"/>
    <n v="25000"/>
    <n v="37"/>
    <s v="Yes"/>
    <s v="Recovered"/>
    <n v="4"/>
    <x v="0"/>
    <s v="High"/>
    <s v="Yes"/>
  </r>
  <r>
    <n v="411"/>
    <n v="72"/>
    <s v="Male"/>
    <s v="Hypertension"/>
    <s v="Medication and Counseling"/>
    <n v="1000"/>
    <n v="29"/>
    <s v="No"/>
    <s v="Stable"/>
    <n v="4"/>
    <x v="1"/>
    <s v="Low"/>
    <s v="Yes"/>
  </r>
  <r>
    <n v="412"/>
    <n v="60"/>
    <s v="Female"/>
    <s v="Appendicitis"/>
    <s v="Appendectomy"/>
    <n v="8000"/>
    <n v="31"/>
    <s v="Yes"/>
    <s v="Recovered"/>
    <n v="3"/>
    <x v="1"/>
    <s v="Medium"/>
    <s v="No"/>
  </r>
  <r>
    <n v="413"/>
    <n v="45"/>
    <s v="Male"/>
    <s v="Fractured Leg"/>
    <s v="Cast and Physical Therapy"/>
    <n v="3000"/>
    <n v="33"/>
    <s v="No"/>
    <s v="Recovered"/>
    <n v="4"/>
    <x v="0"/>
    <s v="Medium"/>
    <s v="Yes"/>
  </r>
  <r>
    <n v="414"/>
    <n v="75"/>
    <s v="Female"/>
    <s v="Heart Attack"/>
    <s v="Cardiac Catheterization"/>
    <n v="18000"/>
    <n v="35"/>
    <s v="Yes"/>
    <s v="Stable"/>
    <n v="2"/>
    <x v="3"/>
    <s v="High"/>
    <s v="No"/>
  </r>
  <r>
    <n v="415"/>
    <n v="28"/>
    <s v="Male"/>
    <s v="Allergic Reaction"/>
    <s v="Epinephrine Injection"/>
    <n v="100"/>
    <n v="28"/>
    <s v="No"/>
    <s v="Recovered"/>
    <n v="5"/>
    <x v="4"/>
    <s v="Low"/>
    <s v="Yes"/>
  </r>
  <r>
    <n v="416"/>
    <n v="52"/>
    <s v="Female"/>
    <s v="Respiratory Infection"/>
    <s v="Antibiotics and Rest"/>
    <n v="800"/>
    <n v="29"/>
    <s v="No"/>
    <s v="Stable"/>
    <n v="4"/>
    <x v="0"/>
    <s v="Low"/>
    <s v="Yes"/>
  </r>
  <r>
    <n v="418"/>
    <n v="35"/>
    <s v="Female"/>
    <s v="Childbirth"/>
    <s v="Delivery and Postnatal Care"/>
    <n v="12000"/>
    <n v="30"/>
    <s v="No"/>
    <s v="Recovered"/>
    <n v="4"/>
    <x v="2"/>
    <s v="High"/>
    <s v="Yes"/>
  </r>
  <r>
    <n v="419"/>
    <n v="50"/>
    <s v="Male"/>
    <s v="Kidney Stones"/>
    <s v="Lithotripsy"/>
    <n v="6000"/>
    <n v="31"/>
    <s v="No"/>
    <s v="Recovered"/>
    <n v="3"/>
    <x v="0"/>
    <s v="Medium"/>
    <s v="No"/>
  </r>
  <r>
    <n v="420"/>
    <n v="60"/>
    <s v="Female"/>
    <s v="Osteoarthritis"/>
    <s v="Physical Therapy and Pain Management"/>
    <n v="4000"/>
    <n v="32"/>
    <s v="No"/>
    <s v="Stable"/>
    <n v="4"/>
    <x v="1"/>
    <s v="Medium"/>
    <s v="Yes"/>
  </r>
  <r>
    <n v="421"/>
    <n v="48"/>
    <s v="Female"/>
    <s v="Heart Disease"/>
    <s v="Angioplasty"/>
    <n v="15000"/>
    <n v="33"/>
    <s v="Yes"/>
    <s v="Recovered"/>
    <n v="4"/>
    <x v="0"/>
    <s v="High"/>
    <s v="Yes"/>
  </r>
  <r>
    <n v="422"/>
    <n v="65"/>
    <s v="Male"/>
    <s v="Diabetes"/>
    <s v="Insulin Therapy"/>
    <n v="2000"/>
    <n v="31"/>
    <s v="No"/>
    <s v="Stable"/>
    <n v="3"/>
    <x v="1"/>
    <s v="Medium"/>
    <s v="No"/>
  </r>
  <r>
    <n v="423"/>
    <n v="30"/>
    <s v="Female"/>
    <s v="Fractured Arm"/>
    <s v="X-Ray and Splint"/>
    <n v="500"/>
    <n v="29"/>
    <s v="No"/>
    <s v="Recovered"/>
    <n v="5"/>
    <x v="2"/>
    <s v="Low"/>
    <s v="Yes"/>
  </r>
  <r>
    <n v="424"/>
    <n v="70"/>
    <s v="Male"/>
    <s v="Stroke"/>
    <s v="CT Scan and Medication"/>
    <n v="10000"/>
    <n v="36"/>
    <s v="Yes"/>
    <s v="Stable"/>
    <n v="2"/>
    <x v="1"/>
    <s v="High"/>
    <s v="No"/>
  </r>
  <r>
    <n v="425"/>
    <n v="55"/>
    <s v="Female"/>
    <s v="Cancer"/>
    <s v="Surgery and Chemotherapy"/>
    <n v="25000"/>
    <n v="38"/>
    <s v="No"/>
    <s v="Recovered"/>
    <n v="4"/>
    <x v="0"/>
    <s v="High"/>
    <s v="Yes"/>
  </r>
  <r>
    <n v="426"/>
    <n v="68"/>
    <s v="Male"/>
    <s v="Hypertension"/>
    <s v="Medication and Counseling"/>
    <n v="1000"/>
    <n v="30"/>
    <s v="No"/>
    <s v="Stable"/>
    <n v="4"/>
    <x v="1"/>
    <s v="Low"/>
    <s v="Yes"/>
  </r>
  <r>
    <n v="427"/>
    <n v="45"/>
    <s v="Female"/>
    <s v="Appendicitis"/>
    <s v="Appendectomy"/>
    <n v="8000"/>
    <n v="32"/>
    <s v="No"/>
    <s v="Recovered"/>
    <n v="3"/>
    <x v="0"/>
    <s v="Medium"/>
    <s v="No"/>
  </r>
  <r>
    <n v="428"/>
    <n v="40"/>
    <s v="Male"/>
    <s v="Fractured Leg"/>
    <s v="Cast and Physical Therapy"/>
    <n v="3000"/>
    <n v="34"/>
    <s v="No"/>
    <s v="Recovered"/>
    <n v="4"/>
    <x v="2"/>
    <s v="Medium"/>
    <s v="Yes"/>
  </r>
  <r>
    <n v="429"/>
    <n v="78"/>
    <s v="Female"/>
    <s v="Heart Attack"/>
    <s v="Cardiac Catheterization"/>
    <n v="18000"/>
    <n v="36"/>
    <s v="Yes"/>
    <s v="Stable"/>
    <n v="2"/>
    <x v="3"/>
    <s v="High"/>
    <s v="No"/>
  </r>
  <r>
    <n v="430"/>
    <n v="25"/>
    <s v="Male"/>
    <s v="Allergic Reaction"/>
    <s v="Epinephrine Injection"/>
    <n v="100"/>
    <n v="29"/>
    <s v="No"/>
    <s v="Recovered"/>
    <n v="5"/>
    <x v="4"/>
    <s v="Low"/>
    <s v="Yes"/>
  </r>
  <r>
    <n v="431"/>
    <n v="52"/>
    <s v="Female"/>
    <s v="Respiratory Infection"/>
    <s v="Antibiotics and Rest"/>
    <n v="800"/>
    <n v="30"/>
    <s v="No"/>
    <s v="Stable"/>
    <n v="4"/>
    <x v="0"/>
    <s v="Low"/>
    <s v="Yes"/>
  </r>
  <r>
    <n v="432"/>
    <n v="58"/>
    <s v="Male"/>
    <s v="Prostate Cancer"/>
    <s v="Radiation Therapy"/>
    <n v="20000"/>
    <n v="37"/>
    <s v="No"/>
    <s v="Recovered"/>
    <n v="3"/>
    <x v="0"/>
    <s v="High"/>
    <s v="No"/>
  </r>
  <r>
    <n v="433"/>
    <n v="32"/>
    <s v="Female"/>
    <s v="Childbirth"/>
    <s v="Delivery and Postnatal Care"/>
    <n v="12000"/>
    <n v="31"/>
    <s v="No"/>
    <s v="Recovered"/>
    <n v="4"/>
    <x v="2"/>
    <s v="High"/>
    <s v="Yes"/>
  </r>
  <r>
    <n v="434"/>
    <n v="55"/>
    <s v="Male"/>
    <s v="Kidney Stones"/>
    <s v="Lithotripsy"/>
    <n v="6000"/>
    <n v="32"/>
    <s v="No"/>
    <s v="Recovered"/>
    <n v="3"/>
    <x v="0"/>
    <s v="Medium"/>
    <s v="No"/>
  </r>
  <r>
    <n v="435"/>
    <n v="65"/>
    <s v="Female"/>
    <s v="Osteoarthritis"/>
    <s v="Physical Therapy and Pain Management"/>
    <n v="4000"/>
    <n v="33"/>
    <s v="No"/>
    <s v="Stable"/>
    <n v="4"/>
    <x v="1"/>
    <s v="Medium"/>
    <s v="Yes"/>
  </r>
  <r>
    <n v="436"/>
    <n v="55"/>
    <s v="Female"/>
    <s v="Heart Disease"/>
    <s v="Angioplasty"/>
    <n v="15000"/>
    <n v="34"/>
    <s v="Yes"/>
    <s v="Recovered"/>
    <n v="3"/>
    <x v="0"/>
    <s v="High"/>
    <s v="No"/>
  </r>
  <r>
    <n v="437"/>
    <n v="62"/>
    <s v="Male"/>
    <s v="Diabetes"/>
    <s v="Insulin Therapy"/>
    <n v="2000"/>
    <n v="32"/>
    <s v="No"/>
    <s v="Stable"/>
    <n v="4"/>
    <x v="1"/>
    <s v="Medium"/>
    <s v="Yes"/>
  </r>
  <r>
    <n v="438"/>
    <n v="35"/>
    <s v="Female"/>
    <s v="Fractured Arm"/>
    <s v="X-Ray and Splint"/>
    <n v="500"/>
    <n v="30"/>
    <s v="Yes"/>
    <s v="Recovered"/>
    <n v="5"/>
    <x v="2"/>
    <s v="Low"/>
    <s v="Yes"/>
  </r>
  <r>
    <n v="439"/>
    <n v="78"/>
    <s v="Male"/>
    <s v="Stroke"/>
    <s v="CT Scan and Medication"/>
    <n v="10000"/>
    <n v="37"/>
    <s v="No"/>
    <s v="Stable"/>
    <n v="2"/>
    <x v="3"/>
    <s v="High"/>
    <s v="No"/>
  </r>
  <r>
    <n v="440"/>
    <n v="53"/>
    <s v="Female"/>
    <s v="Cancer"/>
    <s v="Surgery and Chemotherapy"/>
    <n v="25000"/>
    <n v="39"/>
    <s v="Yes"/>
    <s v="Recovered"/>
    <n v="4"/>
    <x v="0"/>
    <s v="High"/>
    <s v="Yes"/>
  </r>
  <r>
    <n v="441"/>
    <n v="72"/>
    <s v="Male"/>
    <s v="Hypertension"/>
    <s v="Medication and Counseling"/>
    <n v="1000"/>
    <n v="31"/>
    <s v="No"/>
    <s v="Stable"/>
    <n v="4"/>
    <x v="1"/>
    <s v="Low"/>
    <s v="Yes"/>
  </r>
  <r>
    <n v="442"/>
    <n v="60"/>
    <s v="Female"/>
    <s v="Appendicitis"/>
    <s v="Appendectomy"/>
    <n v="8000"/>
    <n v="33"/>
    <s v="Yes"/>
    <s v="Recovered"/>
    <n v="3"/>
    <x v="1"/>
    <s v="Medium"/>
    <s v="No"/>
  </r>
  <r>
    <n v="443"/>
    <n v="45"/>
    <s v="Male"/>
    <s v="Fractured Leg"/>
    <s v="Cast and Physical Therapy"/>
    <n v="3000"/>
    <n v="35"/>
    <s v="No"/>
    <s v="Recovered"/>
    <n v="4"/>
    <x v="0"/>
    <s v="Medium"/>
    <s v="Yes"/>
  </r>
  <r>
    <n v="444"/>
    <n v="75"/>
    <s v="Female"/>
    <s v="Heart Attack"/>
    <s v="Cardiac Catheterization"/>
    <n v="18000"/>
    <n v="37"/>
    <s v="Yes"/>
    <s v="Stable"/>
    <n v="2"/>
    <x v="3"/>
    <s v="High"/>
    <s v="No"/>
  </r>
  <r>
    <n v="445"/>
    <n v="28"/>
    <s v="Male"/>
    <s v="Allergic Reaction"/>
    <s v="Epinephrine Injection"/>
    <n v="100"/>
    <n v="30"/>
    <s v="No"/>
    <s v="Recovered"/>
    <n v="5"/>
    <x v="4"/>
    <s v="Low"/>
    <s v="Yes"/>
  </r>
  <r>
    <n v="446"/>
    <n v="52"/>
    <s v="Female"/>
    <s v="Respiratory Infection"/>
    <s v="Antibiotics and Rest"/>
    <n v="800"/>
    <n v="31"/>
    <s v="No"/>
    <s v="Stable"/>
    <n v="4"/>
    <x v="0"/>
    <s v="Low"/>
    <s v="Yes"/>
  </r>
  <r>
    <n v="447"/>
    <n v="67"/>
    <s v="Male"/>
    <s v="Prostate Cancer"/>
    <s v="Radiation Therapy"/>
    <n v="20000"/>
    <n v="38"/>
    <s v="No"/>
    <s v="Recovered"/>
    <n v="3"/>
    <x v="1"/>
    <s v="High"/>
    <s v="No"/>
  </r>
  <r>
    <n v="448"/>
    <n v="35"/>
    <s v="Female"/>
    <s v="Childbirth"/>
    <s v="Delivery and Postnatal Care"/>
    <n v="12000"/>
    <n v="32"/>
    <s v="No"/>
    <s v="Recovered"/>
    <n v="4"/>
    <x v="2"/>
    <s v="High"/>
    <s v="Yes"/>
  </r>
  <r>
    <n v="449"/>
    <n v="50"/>
    <s v="Male"/>
    <s v="Kidney Stones"/>
    <s v="Lithotripsy"/>
    <n v="6000"/>
    <n v="33"/>
    <s v="No"/>
    <s v="Recovered"/>
    <n v="3"/>
    <x v="0"/>
    <s v="Medium"/>
    <s v="No"/>
  </r>
  <r>
    <n v="450"/>
    <n v="60"/>
    <s v="Female"/>
    <s v="Osteoarthritis"/>
    <s v="Physical Therapy and Pain Management"/>
    <n v="4000"/>
    <n v="34"/>
    <s v="No"/>
    <s v="Stable"/>
    <n v="4"/>
    <x v="1"/>
    <s v="Medium"/>
    <s v="Yes"/>
  </r>
  <r>
    <n v="451"/>
    <n v="48"/>
    <s v="Female"/>
    <s v="Heart Disease"/>
    <s v="Angioplasty"/>
    <n v="15000"/>
    <n v="35"/>
    <s v="Yes"/>
    <s v="Recovered"/>
    <n v="4"/>
    <x v="0"/>
    <s v="High"/>
    <s v="Yes"/>
  </r>
  <r>
    <n v="452"/>
    <n v="65"/>
    <s v="Male"/>
    <s v="Diabetes"/>
    <s v="Insulin Therapy"/>
    <n v="2000"/>
    <n v="33"/>
    <s v="No"/>
    <s v="Stable"/>
    <n v="3"/>
    <x v="1"/>
    <s v="Medium"/>
    <s v="No"/>
  </r>
  <r>
    <n v="453"/>
    <n v="30"/>
    <s v="Female"/>
    <s v="Fractured Arm"/>
    <s v="X-Ray and Splint"/>
    <n v="500"/>
    <n v="31"/>
    <s v="No"/>
    <s v="Recovered"/>
    <n v="5"/>
    <x v="2"/>
    <s v="Low"/>
    <s v="Yes"/>
  </r>
  <r>
    <n v="454"/>
    <n v="70"/>
    <s v="Male"/>
    <s v="Stroke"/>
    <s v="CT Scan and Medication"/>
    <n v="10000"/>
    <n v="38"/>
    <s v="Yes"/>
    <s v="Stable"/>
    <n v="2"/>
    <x v="1"/>
    <s v="High"/>
    <s v="No"/>
  </r>
  <r>
    <n v="455"/>
    <n v="55"/>
    <s v="Female"/>
    <s v="Cancer"/>
    <s v="Surgery and Chemotherapy"/>
    <n v="25000"/>
    <n v="40"/>
    <s v="No"/>
    <s v="Recovered"/>
    <n v="4"/>
    <x v="0"/>
    <s v="High"/>
    <s v="Yes"/>
  </r>
  <r>
    <n v="456"/>
    <n v="68"/>
    <s v="Male"/>
    <s v="Hypertension"/>
    <s v="Medication and Counseling"/>
    <n v="1000"/>
    <n v="32"/>
    <s v="No"/>
    <s v="Stable"/>
    <n v="4"/>
    <x v="1"/>
    <s v="Low"/>
    <s v="Yes"/>
  </r>
  <r>
    <n v="457"/>
    <n v="45"/>
    <s v="Female"/>
    <s v="Appendicitis"/>
    <s v="Appendectomy"/>
    <n v="8000"/>
    <n v="34"/>
    <s v="No"/>
    <s v="Recovered"/>
    <n v="3"/>
    <x v="0"/>
    <s v="Medium"/>
    <s v="No"/>
  </r>
  <r>
    <n v="458"/>
    <n v="40"/>
    <s v="Male"/>
    <s v="Fractured Leg"/>
    <s v="Cast and Physical Therapy"/>
    <n v="3000"/>
    <n v="36"/>
    <s v="No"/>
    <s v="Recovered"/>
    <n v="4"/>
    <x v="2"/>
    <s v="Medium"/>
    <s v="Yes"/>
  </r>
  <r>
    <n v="459"/>
    <n v="78"/>
    <s v="Female"/>
    <s v="Heart Attack"/>
    <s v="Cardiac Catheterization"/>
    <n v="18000"/>
    <n v="38"/>
    <s v="Yes"/>
    <s v="Stable"/>
    <n v="2"/>
    <x v="3"/>
    <s v="High"/>
    <s v="No"/>
  </r>
  <r>
    <n v="460"/>
    <n v="25"/>
    <s v="Male"/>
    <s v="Allergic Reaction"/>
    <s v="Epinephrine Injection"/>
    <n v="100"/>
    <n v="31"/>
    <s v="No"/>
    <s v="Recovered"/>
    <n v="5"/>
    <x v="4"/>
    <s v="Low"/>
    <s v="Yes"/>
  </r>
  <r>
    <n v="461"/>
    <n v="52"/>
    <s v="Female"/>
    <s v="Respiratory Infection"/>
    <s v="Antibiotics and Rest"/>
    <n v="800"/>
    <n v="32"/>
    <s v="No"/>
    <s v="Stable"/>
    <n v="4"/>
    <x v="0"/>
    <s v="Low"/>
    <s v="Yes"/>
  </r>
  <r>
    <n v="462"/>
    <n v="58"/>
    <s v="Male"/>
    <s v="Prostate Cancer"/>
    <s v="Radiation Therapy"/>
    <n v="20000"/>
    <n v="39"/>
    <s v="No"/>
    <s v="Recovered"/>
    <n v="3"/>
    <x v="0"/>
    <s v="High"/>
    <s v="No"/>
  </r>
  <r>
    <n v="463"/>
    <n v="32"/>
    <s v="Female"/>
    <s v="Childbirth"/>
    <s v="Delivery and Postnatal Care"/>
    <n v="12000"/>
    <n v="33"/>
    <s v="No"/>
    <s v="Recovered"/>
    <n v="4"/>
    <x v="2"/>
    <s v="High"/>
    <s v="Yes"/>
  </r>
  <r>
    <n v="464"/>
    <n v="55"/>
    <s v="Male"/>
    <s v="Kidney Stones"/>
    <s v="Lithotripsy"/>
    <n v="6000"/>
    <n v="34"/>
    <s v="No"/>
    <s v="Recovered"/>
    <n v="3"/>
    <x v="0"/>
    <s v="Medium"/>
    <s v="No"/>
  </r>
  <r>
    <n v="465"/>
    <n v="65"/>
    <s v="Female"/>
    <s v="Osteoarthritis"/>
    <s v="Physical Therapy and Pain Management"/>
    <n v="4000"/>
    <n v="35"/>
    <s v="No"/>
    <s v="Stable"/>
    <n v="4"/>
    <x v="1"/>
    <s v="Medium"/>
    <s v="Yes"/>
  </r>
  <r>
    <n v="466"/>
    <n v="55"/>
    <s v="Female"/>
    <s v="Heart Disease"/>
    <s v="Angioplasty"/>
    <n v="15000"/>
    <n v="36"/>
    <s v="Yes"/>
    <s v="Recovered"/>
    <n v="3"/>
    <x v="0"/>
    <s v="High"/>
    <s v="No"/>
  </r>
  <r>
    <n v="467"/>
    <n v="62"/>
    <s v="Male"/>
    <s v="Diabetes"/>
    <s v="Insulin Therapy"/>
    <n v="2000"/>
    <n v="34"/>
    <s v="No"/>
    <s v="Stable"/>
    <n v="4"/>
    <x v="1"/>
    <s v="Medium"/>
    <s v="Yes"/>
  </r>
  <r>
    <n v="468"/>
    <n v="35"/>
    <s v="Female"/>
    <s v="Fractured Arm"/>
    <s v="X-Ray and Splint"/>
    <n v="500"/>
    <n v="32"/>
    <s v="Yes"/>
    <s v="Recovered"/>
    <n v="5"/>
    <x v="2"/>
    <s v="Low"/>
    <s v="Yes"/>
  </r>
  <r>
    <n v="469"/>
    <n v="78"/>
    <s v="Male"/>
    <s v="Stroke"/>
    <s v="CT Scan and Medication"/>
    <n v="10000"/>
    <n v="39"/>
    <s v="No"/>
    <s v="Stable"/>
    <n v="2"/>
    <x v="3"/>
    <s v="High"/>
    <s v="No"/>
  </r>
  <r>
    <n v="470"/>
    <n v="53"/>
    <s v="Female"/>
    <s v="Cancer"/>
    <s v="Surgery and Chemotherapy"/>
    <n v="25000"/>
    <n v="41"/>
    <s v="Yes"/>
    <s v="Recovered"/>
    <n v="4"/>
    <x v="0"/>
    <s v="High"/>
    <s v="Yes"/>
  </r>
  <r>
    <n v="471"/>
    <n v="72"/>
    <s v="Male"/>
    <s v="Hypertension"/>
    <s v="Medication and Counseling"/>
    <n v="1000"/>
    <n v="33"/>
    <s v="No"/>
    <s v="Stable"/>
    <n v="4"/>
    <x v="1"/>
    <s v="Low"/>
    <s v="Yes"/>
  </r>
  <r>
    <n v="472"/>
    <n v="60"/>
    <s v="Female"/>
    <s v="Appendicitis"/>
    <s v="Appendectomy"/>
    <n v="8000"/>
    <n v="35"/>
    <s v="Yes"/>
    <s v="Recovered"/>
    <n v="3"/>
    <x v="1"/>
    <s v="Medium"/>
    <s v="No"/>
  </r>
  <r>
    <n v="473"/>
    <n v="45"/>
    <s v="Male"/>
    <s v="Fractured Leg"/>
    <s v="Cast and Physical Therapy"/>
    <n v="3000"/>
    <n v="37"/>
    <s v="No"/>
    <s v="Recovered"/>
    <n v="4"/>
    <x v="0"/>
    <s v="Medium"/>
    <s v="Yes"/>
  </r>
  <r>
    <n v="474"/>
    <n v="75"/>
    <s v="Female"/>
    <s v="Heart Attack"/>
    <s v="Cardiac Catheterization"/>
    <n v="18000"/>
    <n v="39"/>
    <s v="Yes"/>
    <s v="Stable"/>
    <n v="2"/>
    <x v="3"/>
    <s v="High"/>
    <s v="No"/>
  </r>
  <r>
    <n v="475"/>
    <n v="28"/>
    <s v="Male"/>
    <s v="Allergic Reaction"/>
    <s v="Epinephrine Injection"/>
    <n v="100"/>
    <n v="32"/>
    <s v="No"/>
    <s v="Recovered"/>
    <n v="5"/>
    <x v="4"/>
    <s v="Low"/>
    <s v="Yes"/>
  </r>
  <r>
    <n v="476"/>
    <n v="52"/>
    <s v="Female"/>
    <s v="Respiratory Infection"/>
    <s v="Antibiotics and Rest"/>
    <n v="800"/>
    <n v="33"/>
    <s v="No"/>
    <s v="Stable"/>
    <n v="4"/>
    <x v="0"/>
    <s v="Low"/>
    <s v="Yes"/>
  </r>
  <r>
    <n v="477"/>
    <n v="67"/>
    <s v="Male"/>
    <s v="Prostate Cancer"/>
    <s v="Radiation Therapy"/>
    <n v="20000"/>
    <n v="40"/>
    <s v="No"/>
    <s v="Recovered"/>
    <n v="3"/>
    <x v="1"/>
    <s v="High"/>
    <s v="No"/>
  </r>
  <r>
    <n v="479"/>
    <n v="50"/>
    <s v="Male"/>
    <s v="Kidney Stones"/>
    <s v="Lithotripsy"/>
    <n v="6000"/>
    <n v="35"/>
    <s v="No"/>
    <s v="Recovered"/>
    <n v="3"/>
    <x v="0"/>
    <s v="Medium"/>
    <s v="No"/>
  </r>
  <r>
    <n v="480"/>
    <n v="60"/>
    <s v="Female"/>
    <s v="Osteoarthritis"/>
    <s v="Physical Therapy and Pain Management"/>
    <n v="4000"/>
    <n v="36"/>
    <s v="No"/>
    <s v="Stable"/>
    <n v="4"/>
    <x v="1"/>
    <s v="Medium"/>
    <s v="Yes"/>
  </r>
  <r>
    <n v="481"/>
    <n v="48"/>
    <s v="Female"/>
    <s v="Heart Disease"/>
    <s v="Angioplasty"/>
    <n v="15000"/>
    <n v="37"/>
    <s v="Yes"/>
    <s v="Recovered"/>
    <n v="4"/>
    <x v="0"/>
    <s v="High"/>
    <s v="Yes"/>
  </r>
  <r>
    <n v="482"/>
    <n v="65"/>
    <s v="Male"/>
    <s v="Diabetes"/>
    <s v="Insulin Therapy"/>
    <n v="2000"/>
    <n v="35"/>
    <s v="No"/>
    <s v="Stable"/>
    <n v="3"/>
    <x v="1"/>
    <s v="Medium"/>
    <s v="No"/>
  </r>
  <r>
    <n v="483"/>
    <n v="30"/>
    <s v="Female"/>
    <s v="Fractured Arm"/>
    <s v="X-Ray and Splint"/>
    <n v="500"/>
    <n v="33"/>
    <s v="No"/>
    <s v="Recovered"/>
    <n v="5"/>
    <x v="2"/>
    <s v="Low"/>
    <s v="Yes"/>
  </r>
  <r>
    <n v="484"/>
    <n v="70"/>
    <s v="Male"/>
    <s v="Stroke"/>
    <s v="CT Scan and Medication"/>
    <n v="10000"/>
    <n v="40"/>
    <s v="Yes"/>
    <s v="Stable"/>
    <n v="2"/>
    <x v="1"/>
    <s v="High"/>
    <s v="No"/>
  </r>
  <r>
    <n v="485"/>
    <n v="55"/>
    <s v="Female"/>
    <s v="Cancer"/>
    <s v="Surgery and Chemotherapy"/>
    <n v="25000"/>
    <n v="42"/>
    <s v="No"/>
    <s v="Recovered"/>
    <n v="4"/>
    <x v="0"/>
    <s v="High"/>
    <s v="Yes"/>
  </r>
  <r>
    <n v="486"/>
    <n v="68"/>
    <s v="Male"/>
    <s v="Hypertension"/>
    <s v="Medication and Counseling"/>
    <n v="1000"/>
    <n v="34"/>
    <s v="No"/>
    <s v="Stable"/>
    <n v="4"/>
    <x v="1"/>
    <s v="Low"/>
    <s v="Yes"/>
  </r>
  <r>
    <n v="487"/>
    <n v="45"/>
    <s v="Female"/>
    <s v="Appendicitis"/>
    <s v="Appendectomy"/>
    <n v="8000"/>
    <n v="36"/>
    <s v="No"/>
    <s v="Recovered"/>
    <n v="3"/>
    <x v="0"/>
    <s v="Medium"/>
    <s v="No"/>
  </r>
  <r>
    <n v="488"/>
    <n v="40"/>
    <s v="Male"/>
    <s v="Fractured Leg"/>
    <s v="Cast and Physical Therapy"/>
    <n v="3000"/>
    <n v="38"/>
    <s v="No"/>
    <s v="Recovered"/>
    <n v="4"/>
    <x v="2"/>
    <s v="Medium"/>
    <s v="Yes"/>
  </r>
  <r>
    <n v="489"/>
    <n v="78"/>
    <s v="Female"/>
    <s v="Heart Attack"/>
    <s v="Cardiac Catheterization"/>
    <n v="18000"/>
    <n v="40"/>
    <s v="Yes"/>
    <s v="Stable"/>
    <n v="2"/>
    <x v="3"/>
    <s v="High"/>
    <s v="No"/>
  </r>
  <r>
    <n v="490"/>
    <n v="25"/>
    <s v="Male"/>
    <s v="Allergic Reaction"/>
    <s v="Epinephrine Injection"/>
    <n v="100"/>
    <n v="33"/>
    <s v="No"/>
    <s v="Recovered"/>
    <n v="5"/>
    <x v="4"/>
    <s v="Low"/>
    <s v="Yes"/>
  </r>
  <r>
    <n v="491"/>
    <n v="52"/>
    <s v="Female"/>
    <s v="Respiratory Infection"/>
    <s v="Antibiotics and Rest"/>
    <n v="800"/>
    <n v="34"/>
    <s v="No"/>
    <s v="Stable"/>
    <n v="4"/>
    <x v="0"/>
    <s v="Low"/>
    <s v="Yes"/>
  </r>
  <r>
    <n v="492"/>
    <n v="58"/>
    <s v="Male"/>
    <s v="Prostate Cancer"/>
    <s v="Radiation Therapy"/>
    <n v="20000"/>
    <n v="41"/>
    <s v="No"/>
    <s v="Recovered"/>
    <n v="3"/>
    <x v="0"/>
    <s v="High"/>
    <s v="No"/>
  </r>
  <r>
    <n v="493"/>
    <n v="32"/>
    <s v="Female"/>
    <s v="Childbirth"/>
    <s v="Delivery and Postnatal Care"/>
    <n v="12000"/>
    <n v="35"/>
    <s v="No"/>
    <s v="Recovered"/>
    <n v="4"/>
    <x v="2"/>
    <s v="High"/>
    <s v="Yes"/>
  </r>
  <r>
    <n v="494"/>
    <n v="55"/>
    <s v="Male"/>
    <s v="Kidney Stones"/>
    <s v="Lithotripsy"/>
    <n v="6000"/>
    <n v="36"/>
    <s v="No"/>
    <s v="Recovered"/>
    <n v="3"/>
    <x v="0"/>
    <s v="Medium"/>
    <s v="No"/>
  </r>
  <r>
    <n v="495"/>
    <n v="65"/>
    <s v="Female"/>
    <s v="Osteoarthritis"/>
    <s v="Physical Therapy and Pain Management"/>
    <n v="4000"/>
    <n v="37"/>
    <s v="No"/>
    <s v="Stable"/>
    <n v="4"/>
    <x v="1"/>
    <s v="Medium"/>
    <s v="Yes"/>
  </r>
  <r>
    <n v="496"/>
    <n v="55"/>
    <s v="Female"/>
    <s v="Heart Disease"/>
    <s v="Angioplasty"/>
    <n v="15000"/>
    <n v="38"/>
    <s v="Yes"/>
    <s v="Recovered"/>
    <n v="3"/>
    <x v="0"/>
    <s v="High"/>
    <s v="No"/>
  </r>
  <r>
    <n v="497"/>
    <n v="62"/>
    <s v="Male"/>
    <s v="Diabetes"/>
    <s v="Insulin Therapy"/>
    <n v="2000"/>
    <n v="36"/>
    <s v="No"/>
    <s v="Stable"/>
    <n v="4"/>
    <x v="1"/>
    <s v="Medium"/>
    <s v="Yes"/>
  </r>
  <r>
    <n v="498"/>
    <n v="35"/>
    <s v="Female"/>
    <s v="Fractured Arm"/>
    <s v="X-Ray and Splint"/>
    <n v="500"/>
    <n v="34"/>
    <s v="Yes"/>
    <s v="Recovered"/>
    <n v="5"/>
    <x v="2"/>
    <s v="Low"/>
    <s v="Yes"/>
  </r>
  <r>
    <n v="499"/>
    <n v="78"/>
    <s v="Male"/>
    <s v="Stroke"/>
    <s v="CT Scan and Medication"/>
    <n v="10000"/>
    <n v="41"/>
    <s v="No"/>
    <s v="Stable"/>
    <n v="2"/>
    <x v="3"/>
    <s v="High"/>
    <s v="No"/>
  </r>
  <r>
    <n v="500"/>
    <n v="53"/>
    <s v="Female"/>
    <s v="Cancer"/>
    <s v="Surgery and Chemotherapy"/>
    <n v="25000"/>
    <n v="43"/>
    <s v="Yes"/>
    <s v="Recovered"/>
    <n v="4"/>
    <x v="0"/>
    <s v="High"/>
    <s v="Yes"/>
  </r>
  <r>
    <n v="501"/>
    <n v="72"/>
    <s v="Male"/>
    <s v="Hypertension"/>
    <s v="Medication and Counseling"/>
    <n v="1000"/>
    <n v="35"/>
    <s v="No"/>
    <s v="Stable"/>
    <n v="4"/>
    <x v="1"/>
    <s v="Low"/>
    <s v="Yes"/>
  </r>
  <r>
    <n v="502"/>
    <n v="60"/>
    <s v="Female"/>
    <s v="Appendicitis"/>
    <s v="Appendectomy"/>
    <n v="8000"/>
    <n v="37"/>
    <s v="Yes"/>
    <s v="Recovered"/>
    <n v="3"/>
    <x v="1"/>
    <s v="Medium"/>
    <s v="No"/>
  </r>
  <r>
    <n v="503"/>
    <n v="45"/>
    <s v="Male"/>
    <s v="Fractured Leg"/>
    <s v="Cast and Physical Therapy"/>
    <n v="3000"/>
    <n v="39"/>
    <s v="No"/>
    <s v="Recovered"/>
    <n v="4"/>
    <x v="0"/>
    <s v="Medium"/>
    <s v="Yes"/>
  </r>
  <r>
    <n v="504"/>
    <n v="75"/>
    <s v="Female"/>
    <s v="Heart Attack"/>
    <s v="Cardiac Catheterization"/>
    <n v="18000"/>
    <n v="41"/>
    <s v="Yes"/>
    <s v="Stable"/>
    <n v="2"/>
    <x v="3"/>
    <s v="High"/>
    <s v="No"/>
  </r>
  <r>
    <n v="505"/>
    <n v="28"/>
    <s v="Male"/>
    <s v="Allergic Reaction"/>
    <s v="Epinephrine Injection"/>
    <n v="100"/>
    <n v="34"/>
    <s v="No"/>
    <s v="Recovered"/>
    <n v="5"/>
    <x v="4"/>
    <s v="Low"/>
    <s v="Yes"/>
  </r>
  <r>
    <n v="506"/>
    <n v="52"/>
    <s v="Female"/>
    <s v="Respiratory Infection"/>
    <s v="Antibiotics and Rest"/>
    <n v="800"/>
    <n v="35"/>
    <s v="No"/>
    <s v="Stable"/>
    <n v="4"/>
    <x v="0"/>
    <s v="Low"/>
    <s v="Yes"/>
  </r>
  <r>
    <n v="507"/>
    <n v="67"/>
    <s v="Male"/>
    <s v="Prostate Cancer"/>
    <s v="Radiation Therapy"/>
    <n v="20000"/>
    <n v="42"/>
    <s v="No"/>
    <s v="Recovered"/>
    <n v="3"/>
    <x v="1"/>
    <s v="High"/>
    <s v="No"/>
  </r>
  <r>
    <n v="508"/>
    <n v="35"/>
    <s v="Female"/>
    <s v="Childbirth"/>
    <s v="Delivery and Postnatal Care"/>
    <n v="12000"/>
    <n v="36"/>
    <s v="No"/>
    <s v="Recovered"/>
    <n v="4"/>
    <x v="2"/>
    <s v="High"/>
    <s v="Yes"/>
  </r>
  <r>
    <n v="509"/>
    <n v="50"/>
    <s v="Male"/>
    <s v="Kidney Stones"/>
    <s v="Lithotripsy"/>
    <n v="6000"/>
    <n v="37"/>
    <s v="No"/>
    <s v="Recovered"/>
    <n v="3"/>
    <x v="0"/>
    <s v="Medium"/>
    <s v="No"/>
  </r>
  <r>
    <n v="510"/>
    <n v="60"/>
    <s v="Female"/>
    <s v="Osteoarthritis"/>
    <s v="Physical Therapy and Pain Management"/>
    <n v="4000"/>
    <n v="38"/>
    <s v="No"/>
    <s v="Stable"/>
    <n v="4"/>
    <x v="1"/>
    <s v="Medium"/>
    <s v="Yes"/>
  </r>
  <r>
    <n v="511"/>
    <n v="48"/>
    <s v="Female"/>
    <s v="Heart Disease"/>
    <s v="Angioplasty"/>
    <n v="15000"/>
    <n v="39"/>
    <s v="Yes"/>
    <s v="Recovered"/>
    <n v="4"/>
    <x v="0"/>
    <s v="High"/>
    <s v="Yes"/>
  </r>
  <r>
    <n v="512"/>
    <n v="65"/>
    <s v="Male"/>
    <s v="Diabetes"/>
    <s v="Insulin Therapy"/>
    <n v="2000"/>
    <n v="37"/>
    <s v="No"/>
    <s v="Stable"/>
    <n v="3"/>
    <x v="1"/>
    <s v="Medium"/>
    <s v="No"/>
  </r>
  <r>
    <n v="513"/>
    <n v="30"/>
    <s v="Female"/>
    <s v="Fractured Arm"/>
    <s v="X-Ray and Splint"/>
    <n v="500"/>
    <n v="35"/>
    <s v="No"/>
    <s v="Recovered"/>
    <n v="5"/>
    <x v="2"/>
    <s v="Low"/>
    <s v="Yes"/>
  </r>
  <r>
    <n v="514"/>
    <n v="70"/>
    <s v="Male"/>
    <s v="Stroke"/>
    <s v="CT Scan and Medication"/>
    <n v="10000"/>
    <n v="42"/>
    <s v="Yes"/>
    <s v="Stable"/>
    <n v="2"/>
    <x v="1"/>
    <s v="High"/>
    <s v="No"/>
  </r>
  <r>
    <n v="515"/>
    <n v="55"/>
    <s v="Female"/>
    <s v="Cancer"/>
    <s v="Surgery and Chemotherapy"/>
    <n v="25000"/>
    <n v="44"/>
    <s v="No"/>
    <s v="Recovered"/>
    <n v="4"/>
    <x v="0"/>
    <s v="High"/>
    <s v="Yes"/>
  </r>
  <r>
    <n v="516"/>
    <n v="68"/>
    <s v="Male"/>
    <s v="Hypertension"/>
    <s v="Medication and Counseling"/>
    <n v="1000"/>
    <n v="36"/>
    <s v="No"/>
    <s v="Stable"/>
    <n v="4"/>
    <x v="1"/>
    <s v="Low"/>
    <s v="Yes"/>
  </r>
  <r>
    <n v="517"/>
    <n v="45"/>
    <s v="Female"/>
    <s v="Appendicitis"/>
    <s v="Appendectomy"/>
    <n v="8000"/>
    <n v="38"/>
    <s v="No"/>
    <s v="Recovered"/>
    <n v="3"/>
    <x v="0"/>
    <s v="Medium"/>
    <s v="No"/>
  </r>
  <r>
    <n v="518"/>
    <n v="40"/>
    <s v="Male"/>
    <s v="Fractured Leg"/>
    <s v="Cast and Physical Therapy"/>
    <n v="3000"/>
    <n v="40"/>
    <s v="No"/>
    <s v="Recovered"/>
    <n v="4"/>
    <x v="2"/>
    <s v="Medium"/>
    <s v="Yes"/>
  </r>
  <r>
    <n v="519"/>
    <n v="78"/>
    <s v="Female"/>
    <s v="Heart Attack"/>
    <s v="Cardiac Catheterization"/>
    <n v="18000"/>
    <n v="42"/>
    <s v="Yes"/>
    <s v="Stable"/>
    <n v="2"/>
    <x v="3"/>
    <s v="High"/>
    <s v="No"/>
  </r>
  <r>
    <n v="520"/>
    <n v="25"/>
    <s v="Male"/>
    <s v="Allergic Reaction"/>
    <s v="Epinephrine Injection"/>
    <n v="100"/>
    <n v="35"/>
    <s v="No"/>
    <s v="Recovered"/>
    <n v="5"/>
    <x v="4"/>
    <s v="Low"/>
    <s v="Yes"/>
  </r>
  <r>
    <n v="521"/>
    <n v="52"/>
    <s v="Female"/>
    <s v="Respiratory Infection"/>
    <s v="Antibiotics and Rest"/>
    <n v="800"/>
    <n v="36"/>
    <s v="No"/>
    <s v="Stable"/>
    <n v="4"/>
    <x v="0"/>
    <s v="Low"/>
    <s v="Yes"/>
  </r>
  <r>
    <n v="522"/>
    <n v="58"/>
    <s v="Male"/>
    <s v="Prostate Cancer"/>
    <s v="Radiation Therapy"/>
    <n v="20000"/>
    <n v="43"/>
    <s v="No"/>
    <s v="Recovered"/>
    <n v="3"/>
    <x v="0"/>
    <s v="High"/>
    <s v="No"/>
  </r>
  <r>
    <n v="523"/>
    <n v="32"/>
    <s v="Female"/>
    <s v="Childbirth"/>
    <s v="Delivery and Postnatal Care"/>
    <n v="12000"/>
    <n v="37"/>
    <s v="No"/>
    <s v="Recovered"/>
    <n v="4"/>
    <x v="2"/>
    <s v="High"/>
    <s v="Yes"/>
  </r>
  <r>
    <n v="524"/>
    <n v="55"/>
    <s v="Male"/>
    <s v="Kidney Stones"/>
    <s v="Lithotripsy"/>
    <n v="6000"/>
    <n v="38"/>
    <s v="No"/>
    <s v="Recovered"/>
    <n v="3"/>
    <x v="0"/>
    <s v="Medium"/>
    <s v="No"/>
  </r>
  <r>
    <n v="525"/>
    <n v="65"/>
    <s v="Female"/>
    <s v="Osteoarthritis"/>
    <s v="Physical Therapy and Pain Management"/>
    <n v="4000"/>
    <n v="39"/>
    <s v="No"/>
    <s v="Stable"/>
    <n v="4"/>
    <x v="1"/>
    <s v="Medium"/>
    <s v="Yes"/>
  </r>
  <r>
    <n v="526"/>
    <n v="55"/>
    <s v="Female"/>
    <s v="Heart Disease"/>
    <s v="Angioplasty"/>
    <n v="15000"/>
    <n v="40"/>
    <s v="Yes"/>
    <s v="Recovered"/>
    <n v="3"/>
    <x v="0"/>
    <s v="High"/>
    <s v="No"/>
  </r>
  <r>
    <n v="527"/>
    <n v="62"/>
    <s v="Male"/>
    <s v="Diabetes"/>
    <s v="Insulin Therapy"/>
    <n v="2000"/>
    <n v="38"/>
    <s v="No"/>
    <s v="Stable"/>
    <n v="4"/>
    <x v="1"/>
    <s v="Medium"/>
    <s v="Yes"/>
  </r>
  <r>
    <n v="528"/>
    <n v="35"/>
    <s v="Female"/>
    <s v="Fractured Arm"/>
    <s v="X-Ray and Splint"/>
    <n v="500"/>
    <n v="36"/>
    <s v="Yes"/>
    <s v="Recovered"/>
    <n v="5"/>
    <x v="2"/>
    <s v="Low"/>
    <s v="Yes"/>
  </r>
  <r>
    <n v="529"/>
    <n v="78"/>
    <s v="Male"/>
    <s v="Stroke"/>
    <s v="CT Scan and Medication"/>
    <n v="10000"/>
    <n v="43"/>
    <s v="No"/>
    <s v="Stable"/>
    <n v="2"/>
    <x v="3"/>
    <s v="High"/>
    <s v="No"/>
  </r>
  <r>
    <n v="530"/>
    <n v="53"/>
    <s v="Female"/>
    <s v="Cancer"/>
    <s v="Surgery and Chemotherapy"/>
    <n v="25000"/>
    <n v="45"/>
    <s v="Yes"/>
    <s v="Recovered"/>
    <n v="4"/>
    <x v="0"/>
    <s v="High"/>
    <s v="Yes"/>
  </r>
  <r>
    <n v="531"/>
    <n v="72"/>
    <s v="Male"/>
    <s v="Hypertension"/>
    <s v="Medication and Counseling"/>
    <n v="1000"/>
    <n v="38"/>
    <s v="No"/>
    <s v="Stable"/>
    <n v="4"/>
    <x v="1"/>
    <s v="Low"/>
    <s v="Yes"/>
  </r>
  <r>
    <n v="532"/>
    <n v="60"/>
    <s v="Female"/>
    <s v="Appendicitis"/>
    <s v="Appendectomy"/>
    <n v="8000"/>
    <n v="39"/>
    <s v="Yes"/>
    <s v="Recovered"/>
    <n v="3"/>
    <x v="1"/>
    <s v="Medium"/>
    <s v="No"/>
  </r>
  <r>
    <n v="533"/>
    <n v="45"/>
    <s v="Male"/>
    <s v="Fractured Leg"/>
    <s v="Cast and Physical Therapy"/>
    <n v="3000"/>
    <n v="41"/>
    <s v="No"/>
    <s v="Recovered"/>
    <n v="4"/>
    <x v="0"/>
    <s v="Medium"/>
    <s v="Yes"/>
  </r>
  <r>
    <n v="534"/>
    <n v="75"/>
    <s v="Female"/>
    <s v="Heart Attack"/>
    <s v="Cardiac Catheterization"/>
    <n v="18000"/>
    <n v="43"/>
    <s v="Yes"/>
    <s v="Stable"/>
    <n v="2"/>
    <x v="3"/>
    <s v="High"/>
    <s v="No"/>
  </r>
  <r>
    <n v="535"/>
    <n v="28"/>
    <s v="Male"/>
    <s v="Allergic Reaction"/>
    <s v="Epinephrine Injection"/>
    <n v="100"/>
    <n v="36"/>
    <s v="No"/>
    <s v="Recovered"/>
    <n v="5"/>
    <x v="4"/>
    <s v="Low"/>
    <s v="Yes"/>
  </r>
  <r>
    <n v="536"/>
    <n v="52"/>
    <s v="Female"/>
    <s v="Respiratory Infection"/>
    <s v="Antibiotics and Rest"/>
    <n v="800"/>
    <n v="37"/>
    <s v="No"/>
    <s v="Stable"/>
    <n v="4"/>
    <x v="0"/>
    <s v="Low"/>
    <s v="Yes"/>
  </r>
  <r>
    <n v="537"/>
    <n v="67"/>
    <s v="Male"/>
    <s v="Prostate Cancer"/>
    <s v="Radiation Therapy"/>
    <n v="20000"/>
    <n v="44"/>
    <s v="No"/>
    <s v="Recovered"/>
    <n v="3"/>
    <x v="1"/>
    <s v="High"/>
    <s v="No"/>
  </r>
  <r>
    <n v="538"/>
    <n v="35"/>
    <s v="Female"/>
    <s v="Childbirth"/>
    <s v="Delivery and Postnatal Care"/>
    <n v="12000"/>
    <n v="38"/>
    <s v="No"/>
    <s v="Recovered"/>
    <n v="4"/>
    <x v="2"/>
    <s v="High"/>
    <s v="Yes"/>
  </r>
  <r>
    <n v="540"/>
    <n v="60"/>
    <s v="Female"/>
    <s v="Osteoarthritis"/>
    <s v="Physical Therapy and Pain Management"/>
    <n v="4000"/>
    <n v="40"/>
    <s v="No"/>
    <s v="Stable"/>
    <n v="4"/>
    <x v="1"/>
    <s v="Medium"/>
    <s v="Yes"/>
  </r>
  <r>
    <n v="541"/>
    <n v="48"/>
    <s v="Female"/>
    <s v="Heart Disease"/>
    <s v="Angioplasty"/>
    <n v="15000"/>
    <n v="41"/>
    <s v="Yes"/>
    <s v="Recovered"/>
    <n v="4"/>
    <x v="0"/>
    <s v="High"/>
    <s v="Yes"/>
  </r>
  <r>
    <n v="542"/>
    <n v="65"/>
    <s v="Male"/>
    <s v="Diabetes"/>
    <s v="Insulin Therapy"/>
    <n v="2000"/>
    <n v="39"/>
    <s v="No"/>
    <s v="Stable"/>
    <n v="3"/>
    <x v="1"/>
    <s v="Medium"/>
    <s v="No"/>
  </r>
  <r>
    <n v="543"/>
    <n v="30"/>
    <s v="Female"/>
    <s v="Fractured Arm"/>
    <s v="X-Ray and Splint"/>
    <n v="500"/>
    <n v="37"/>
    <s v="No"/>
    <s v="Recovered"/>
    <n v="5"/>
    <x v="2"/>
    <s v="Low"/>
    <s v="Yes"/>
  </r>
  <r>
    <n v="544"/>
    <n v="70"/>
    <s v="Male"/>
    <s v="Stroke"/>
    <s v="CT Scan and Medication"/>
    <n v="10000"/>
    <n v="44"/>
    <s v="Yes"/>
    <s v="Stable"/>
    <n v="2"/>
    <x v="1"/>
    <s v="High"/>
    <s v="No"/>
  </r>
  <r>
    <n v="545"/>
    <n v="55"/>
    <s v="Female"/>
    <s v="Cancer"/>
    <s v="Surgery and Chemotherapy"/>
    <n v="25000"/>
    <n v="46"/>
    <s v="No"/>
    <s v="Recovered"/>
    <n v="4"/>
    <x v="0"/>
    <s v="High"/>
    <s v="Yes"/>
  </r>
  <r>
    <n v="546"/>
    <n v="68"/>
    <s v="Male"/>
    <s v="Hypertension"/>
    <s v="Medication and Counseling"/>
    <n v="1000"/>
    <n v="40"/>
    <s v="No"/>
    <s v="Stable"/>
    <n v="4"/>
    <x v="1"/>
    <s v="Low"/>
    <s v="Yes"/>
  </r>
  <r>
    <n v="547"/>
    <n v="45"/>
    <s v="Female"/>
    <s v="Appendicitis"/>
    <s v="Appendectomy"/>
    <n v="8000"/>
    <n v="42"/>
    <s v="No"/>
    <s v="Recovered"/>
    <n v="3"/>
    <x v="0"/>
    <s v="Medium"/>
    <s v="No"/>
  </r>
  <r>
    <n v="548"/>
    <n v="40"/>
    <s v="Male"/>
    <s v="Fractured Leg"/>
    <s v="Cast and Physical Therapy"/>
    <n v="3000"/>
    <n v="42"/>
    <s v="No"/>
    <s v="Recovered"/>
    <n v="4"/>
    <x v="2"/>
    <s v="Medium"/>
    <s v="Yes"/>
  </r>
  <r>
    <n v="549"/>
    <n v="78"/>
    <s v="Female"/>
    <s v="Heart Attack"/>
    <s v="Cardiac Catheterization"/>
    <n v="18000"/>
    <n v="44"/>
    <s v="Yes"/>
    <s v="Stable"/>
    <n v="2"/>
    <x v="3"/>
    <s v="High"/>
    <s v="No"/>
  </r>
  <r>
    <n v="550"/>
    <n v="25"/>
    <s v="Male"/>
    <s v="Allergic Reaction"/>
    <s v="Epinephrine Injection"/>
    <n v="100"/>
    <n v="37"/>
    <s v="No"/>
    <s v="Recovered"/>
    <n v="5"/>
    <x v="4"/>
    <s v="Low"/>
    <s v="Yes"/>
  </r>
  <r>
    <n v="551"/>
    <n v="52"/>
    <s v="Female"/>
    <s v="Respiratory Infection"/>
    <s v="Antibiotics and Rest"/>
    <n v="800"/>
    <n v="38"/>
    <s v="No"/>
    <s v="Stable"/>
    <n v="4"/>
    <x v="0"/>
    <s v="Low"/>
    <s v="Yes"/>
  </r>
  <r>
    <n v="552"/>
    <n v="58"/>
    <s v="Male"/>
    <s v="Prostate Cancer"/>
    <s v="Radiation Therapy"/>
    <n v="20000"/>
    <n v="45"/>
    <s v="No"/>
    <s v="Recovered"/>
    <n v="3"/>
    <x v="0"/>
    <s v="High"/>
    <s v="No"/>
  </r>
  <r>
    <n v="553"/>
    <n v="32"/>
    <s v="Female"/>
    <s v="Childbirth"/>
    <s v="Delivery and Postnatal Care"/>
    <n v="12000"/>
    <n v="39"/>
    <s v="No"/>
    <s v="Recovered"/>
    <n v="4"/>
    <x v="2"/>
    <s v="High"/>
    <s v="Yes"/>
  </r>
  <r>
    <n v="554"/>
    <n v="55"/>
    <s v="Male"/>
    <s v="Kidney Stones"/>
    <s v="Lithotripsy"/>
    <n v="6000"/>
    <n v="40"/>
    <s v="No"/>
    <s v="Recovered"/>
    <n v="3"/>
    <x v="0"/>
    <s v="Medium"/>
    <s v="No"/>
  </r>
  <r>
    <n v="555"/>
    <n v="65"/>
    <s v="Female"/>
    <s v="Osteoarthritis"/>
    <s v="Physical Therapy and Pain Management"/>
    <n v="4000"/>
    <n v="41"/>
    <s v="No"/>
    <s v="Stable"/>
    <n v="4"/>
    <x v="1"/>
    <s v="Medium"/>
    <s v="Yes"/>
  </r>
  <r>
    <n v="556"/>
    <n v="55"/>
    <s v="Female"/>
    <s v="Heart Disease"/>
    <s v="Angioplasty"/>
    <n v="15000"/>
    <n v="42"/>
    <s v="Yes"/>
    <s v="Recovered"/>
    <n v="3"/>
    <x v="0"/>
    <s v="High"/>
    <s v="No"/>
  </r>
  <r>
    <n v="557"/>
    <n v="62"/>
    <s v="Male"/>
    <s v="Diabetes"/>
    <s v="Insulin Therapy"/>
    <n v="2000"/>
    <n v="40"/>
    <s v="No"/>
    <s v="Stable"/>
    <n v="4"/>
    <x v="1"/>
    <s v="Medium"/>
    <s v="Yes"/>
  </r>
  <r>
    <n v="558"/>
    <n v="35"/>
    <s v="Female"/>
    <s v="Fractured Arm"/>
    <s v="X-Ray and Splint"/>
    <n v="500"/>
    <n v="38"/>
    <s v="Yes"/>
    <s v="Recovered"/>
    <n v="5"/>
    <x v="2"/>
    <s v="Low"/>
    <s v="Yes"/>
  </r>
  <r>
    <n v="559"/>
    <n v="78"/>
    <s v="Male"/>
    <s v="Stroke"/>
    <s v="CT Scan and Medication"/>
    <n v="10000"/>
    <n v="45"/>
    <s v="No"/>
    <s v="Stable"/>
    <n v="2"/>
    <x v="3"/>
    <s v="High"/>
    <s v="No"/>
  </r>
  <r>
    <n v="560"/>
    <n v="53"/>
    <s v="Female"/>
    <s v="Cancer"/>
    <s v="Surgery and Chemotherapy"/>
    <n v="25000"/>
    <n v="47"/>
    <s v="Yes"/>
    <s v="Recovered"/>
    <n v="4"/>
    <x v="0"/>
    <s v="High"/>
    <s v="Yes"/>
  </r>
  <r>
    <n v="561"/>
    <n v="72"/>
    <s v="Male"/>
    <s v="Hypertension"/>
    <s v="Medication and Counseling"/>
    <n v="1000"/>
    <n v="41"/>
    <s v="No"/>
    <s v="Stable"/>
    <n v="4"/>
    <x v="1"/>
    <s v="Low"/>
    <s v="Yes"/>
  </r>
  <r>
    <n v="562"/>
    <n v="60"/>
    <s v="Female"/>
    <s v="Appendicitis"/>
    <s v="Appendectomy"/>
    <n v="8000"/>
    <n v="43"/>
    <s v="Yes"/>
    <s v="Recovered"/>
    <n v="3"/>
    <x v="1"/>
    <s v="Medium"/>
    <s v="No"/>
  </r>
  <r>
    <n v="563"/>
    <n v="45"/>
    <s v="Male"/>
    <s v="Fractured Leg"/>
    <s v="Cast and Physical Therapy"/>
    <n v="3000"/>
    <n v="43"/>
    <s v="No"/>
    <s v="Recovered"/>
    <n v="4"/>
    <x v="0"/>
    <s v="Medium"/>
    <s v="Yes"/>
  </r>
  <r>
    <n v="564"/>
    <n v="75"/>
    <s v="Female"/>
    <s v="Heart Attack"/>
    <s v="Cardiac Catheterization"/>
    <n v="18000"/>
    <n v="45"/>
    <s v="Yes"/>
    <s v="Stable"/>
    <n v="2"/>
    <x v="3"/>
    <s v="High"/>
    <s v="No"/>
  </r>
  <r>
    <n v="565"/>
    <n v="28"/>
    <s v="Male"/>
    <s v="Allergic Reaction"/>
    <s v="Epinephrine Injection"/>
    <n v="100"/>
    <n v="38"/>
    <s v="No"/>
    <s v="Recovered"/>
    <n v="5"/>
    <x v="4"/>
    <s v="Low"/>
    <s v="Yes"/>
  </r>
  <r>
    <n v="566"/>
    <n v="52"/>
    <s v="Female"/>
    <s v="Respiratory Infection"/>
    <s v="Antibiotics and Rest"/>
    <n v="800"/>
    <n v="39"/>
    <s v="No"/>
    <s v="Stable"/>
    <n v="4"/>
    <x v="0"/>
    <s v="Low"/>
    <s v="Yes"/>
  </r>
  <r>
    <n v="567"/>
    <n v="67"/>
    <s v="Male"/>
    <s v="Prostate Cancer"/>
    <s v="Radiation Therapy"/>
    <n v="20000"/>
    <n v="46"/>
    <s v="No"/>
    <s v="Recovered"/>
    <n v="3"/>
    <x v="1"/>
    <s v="High"/>
    <s v="No"/>
  </r>
  <r>
    <n v="568"/>
    <n v="35"/>
    <s v="Female"/>
    <s v="Childbirth"/>
    <s v="Delivery and Postnatal Care"/>
    <n v="12000"/>
    <n v="40"/>
    <s v="No"/>
    <s v="Recovered"/>
    <n v="4"/>
    <x v="2"/>
    <s v="High"/>
    <s v="Yes"/>
  </r>
  <r>
    <n v="569"/>
    <n v="50"/>
    <s v="Male"/>
    <s v="Kidney Stones"/>
    <s v="Lithotripsy"/>
    <n v="6000"/>
    <n v="41"/>
    <s v="No"/>
    <s v="Recovered"/>
    <n v="3"/>
    <x v="0"/>
    <s v="Medium"/>
    <s v="No"/>
  </r>
  <r>
    <n v="570"/>
    <n v="60"/>
    <s v="Female"/>
    <s v="Osteoarthritis"/>
    <s v="Physical Therapy and Pain Management"/>
    <n v="4000"/>
    <n v="42"/>
    <s v="No"/>
    <s v="Stable"/>
    <n v="4"/>
    <x v="1"/>
    <s v="Medium"/>
    <s v="Yes"/>
  </r>
  <r>
    <n v="571"/>
    <n v="48"/>
    <s v="Female"/>
    <s v="Heart Disease"/>
    <s v="Angioplasty"/>
    <n v="15000"/>
    <n v="43"/>
    <s v="Yes"/>
    <s v="Recovered"/>
    <n v="4"/>
    <x v="0"/>
    <s v="High"/>
    <s v="Yes"/>
  </r>
  <r>
    <n v="572"/>
    <n v="65"/>
    <s v="Male"/>
    <s v="Diabetes"/>
    <s v="Insulin Therapy"/>
    <n v="2000"/>
    <n v="41"/>
    <s v="No"/>
    <s v="Stable"/>
    <n v="3"/>
    <x v="1"/>
    <s v="Medium"/>
    <s v="No"/>
  </r>
  <r>
    <n v="573"/>
    <n v="30"/>
    <s v="Female"/>
    <s v="Fractured Arm"/>
    <s v="X-Ray and Splint"/>
    <n v="500"/>
    <n v="39"/>
    <s v="No"/>
    <s v="Recovered"/>
    <n v="5"/>
    <x v="2"/>
    <s v="Low"/>
    <s v="Yes"/>
  </r>
  <r>
    <n v="574"/>
    <n v="70"/>
    <s v="Male"/>
    <s v="Stroke"/>
    <s v="CT Scan and Medication"/>
    <n v="10000"/>
    <n v="46"/>
    <s v="Yes"/>
    <s v="Stable"/>
    <n v="2"/>
    <x v="1"/>
    <s v="High"/>
    <s v="No"/>
  </r>
  <r>
    <n v="575"/>
    <n v="55"/>
    <s v="Female"/>
    <s v="Cancer"/>
    <s v="Surgery and Chemotherapy"/>
    <n v="25000"/>
    <n v="48"/>
    <s v="No"/>
    <s v="Recovered"/>
    <n v="4"/>
    <x v="0"/>
    <s v="High"/>
    <s v="Yes"/>
  </r>
  <r>
    <n v="576"/>
    <n v="68"/>
    <s v="Male"/>
    <s v="Hypertension"/>
    <s v="Medication and Counseling"/>
    <n v="1000"/>
    <n v="42"/>
    <s v="No"/>
    <s v="Stable"/>
    <n v="4"/>
    <x v="1"/>
    <s v="Low"/>
    <s v="Yes"/>
  </r>
  <r>
    <n v="577"/>
    <n v="45"/>
    <s v="Female"/>
    <s v="Appendicitis"/>
    <s v="Appendectomy"/>
    <n v="8000"/>
    <n v="44"/>
    <s v="No"/>
    <s v="Recovered"/>
    <n v="3"/>
    <x v="0"/>
    <s v="Medium"/>
    <s v="No"/>
  </r>
  <r>
    <n v="578"/>
    <n v="40"/>
    <s v="Male"/>
    <s v="Fractured Leg"/>
    <s v="Cast and Physical Therapy"/>
    <n v="3000"/>
    <n v="44"/>
    <s v="No"/>
    <s v="Recovered"/>
    <n v="4"/>
    <x v="2"/>
    <s v="Medium"/>
    <s v="Yes"/>
  </r>
  <r>
    <n v="579"/>
    <n v="78"/>
    <s v="Female"/>
    <s v="Heart Attack"/>
    <s v="Cardiac Catheterization"/>
    <n v="18000"/>
    <n v="46"/>
    <s v="Yes"/>
    <s v="Stable"/>
    <n v="2"/>
    <x v="3"/>
    <s v="High"/>
    <s v="No"/>
  </r>
  <r>
    <n v="580"/>
    <n v="25"/>
    <s v="Male"/>
    <s v="Allergic Reaction"/>
    <s v="Epinephrine Injection"/>
    <n v="100"/>
    <n v="39"/>
    <s v="No"/>
    <s v="Recovered"/>
    <n v="5"/>
    <x v="4"/>
    <s v="Low"/>
    <s v="Yes"/>
  </r>
  <r>
    <n v="581"/>
    <n v="52"/>
    <s v="Female"/>
    <s v="Respiratory Infection"/>
    <s v="Antibiotics and Rest"/>
    <n v="800"/>
    <n v="40"/>
    <s v="No"/>
    <s v="Stable"/>
    <n v="4"/>
    <x v="0"/>
    <s v="Low"/>
    <s v="Yes"/>
  </r>
  <r>
    <n v="582"/>
    <n v="58"/>
    <s v="Male"/>
    <s v="Prostate Cancer"/>
    <s v="Radiation Therapy"/>
    <n v="20000"/>
    <n v="47"/>
    <s v="No"/>
    <s v="Recovered"/>
    <n v="3"/>
    <x v="0"/>
    <s v="High"/>
    <s v="No"/>
  </r>
  <r>
    <n v="583"/>
    <n v="32"/>
    <s v="Female"/>
    <s v="Childbirth"/>
    <s v="Delivery and Postnatal Care"/>
    <n v="12000"/>
    <n v="41"/>
    <s v="No"/>
    <s v="Recovered"/>
    <n v="4"/>
    <x v="2"/>
    <s v="High"/>
    <s v="Yes"/>
  </r>
  <r>
    <n v="584"/>
    <n v="55"/>
    <s v="Male"/>
    <s v="Kidney Stones"/>
    <s v="Lithotripsy"/>
    <n v="6000"/>
    <n v="42"/>
    <s v="No"/>
    <s v="Recovered"/>
    <n v="3"/>
    <x v="0"/>
    <s v="Medium"/>
    <s v="No"/>
  </r>
  <r>
    <n v="585"/>
    <n v="65"/>
    <s v="Female"/>
    <s v="Osteoarthritis"/>
    <s v="Physical Therapy and Pain Management"/>
    <n v="4000"/>
    <n v="43"/>
    <s v="No"/>
    <s v="Stable"/>
    <n v="4"/>
    <x v="1"/>
    <s v="Medium"/>
    <s v="Yes"/>
  </r>
  <r>
    <n v="586"/>
    <n v="55"/>
    <s v="Female"/>
    <s v="Heart Disease"/>
    <s v="Angioplasty"/>
    <n v="15000"/>
    <n v="44"/>
    <s v="Yes"/>
    <s v="Recovered"/>
    <n v="3"/>
    <x v="0"/>
    <s v="High"/>
    <s v="No"/>
  </r>
  <r>
    <n v="587"/>
    <n v="62"/>
    <s v="Male"/>
    <s v="Diabetes"/>
    <s v="Insulin Therapy"/>
    <n v="2000"/>
    <n v="42"/>
    <s v="No"/>
    <s v="Stable"/>
    <n v="4"/>
    <x v="1"/>
    <s v="Medium"/>
    <s v="Yes"/>
  </r>
  <r>
    <n v="588"/>
    <n v="35"/>
    <s v="Female"/>
    <s v="Fractured Arm"/>
    <s v="X-Ray and Splint"/>
    <n v="500"/>
    <n v="40"/>
    <s v="Yes"/>
    <s v="Recovered"/>
    <n v="5"/>
    <x v="2"/>
    <s v="Low"/>
    <s v="Yes"/>
  </r>
  <r>
    <n v="589"/>
    <n v="78"/>
    <s v="Male"/>
    <s v="Stroke"/>
    <s v="CT Scan and Medication"/>
    <n v="10000"/>
    <n v="47"/>
    <s v="No"/>
    <s v="Stable"/>
    <n v="2"/>
    <x v="3"/>
    <s v="High"/>
    <s v="No"/>
  </r>
  <r>
    <n v="590"/>
    <n v="53"/>
    <s v="Female"/>
    <s v="Cancer"/>
    <s v="Surgery and Chemotherapy"/>
    <n v="25000"/>
    <n v="49"/>
    <s v="Yes"/>
    <s v="Recovered"/>
    <n v="4"/>
    <x v="0"/>
    <s v="High"/>
    <s v="Yes"/>
  </r>
  <r>
    <n v="591"/>
    <n v="72"/>
    <s v="Male"/>
    <s v="Hypertension"/>
    <s v="Medication and Counseling"/>
    <n v="1000"/>
    <n v="43"/>
    <s v="No"/>
    <s v="Stable"/>
    <n v="4"/>
    <x v="1"/>
    <s v="Low"/>
    <s v="Yes"/>
  </r>
  <r>
    <n v="592"/>
    <n v="60"/>
    <s v="Female"/>
    <s v="Appendicitis"/>
    <s v="Appendectomy"/>
    <n v="8000"/>
    <n v="45"/>
    <s v="Yes"/>
    <s v="Recovered"/>
    <n v="3"/>
    <x v="1"/>
    <s v="Medium"/>
    <s v="No"/>
  </r>
  <r>
    <n v="593"/>
    <n v="45"/>
    <s v="Male"/>
    <s v="Fractured Leg"/>
    <s v="Cast and Physical Therapy"/>
    <n v="3000"/>
    <n v="45"/>
    <s v="No"/>
    <s v="Recovered"/>
    <n v="4"/>
    <x v="0"/>
    <s v="Medium"/>
    <s v="Yes"/>
  </r>
  <r>
    <n v="594"/>
    <n v="75"/>
    <s v="Female"/>
    <s v="Heart Attack"/>
    <s v="Cardiac Catheterization"/>
    <n v="18000"/>
    <n v="47"/>
    <s v="Yes"/>
    <s v="Stable"/>
    <n v="2"/>
    <x v="3"/>
    <s v="High"/>
    <s v="No"/>
  </r>
  <r>
    <n v="595"/>
    <n v="28"/>
    <s v="Male"/>
    <s v="Allergic Reaction"/>
    <s v="Epinephrine Injection"/>
    <n v="100"/>
    <n v="40"/>
    <s v="No"/>
    <s v="Recovered"/>
    <n v="5"/>
    <x v="4"/>
    <s v="Low"/>
    <s v="Yes"/>
  </r>
  <r>
    <n v="596"/>
    <n v="52"/>
    <s v="Female"/>
    <s v="Respiratory Infection"/>
    <s v="Antibiotics and Rest"/>
    <n v="800"/>
    <n v="41"/>
    <s v="No"/>
    <s v="Stable"/>
    <n v="4"/>
    <x v="0"/>
    <s v="Low"/>
    <s v="Yes"/>
  </r>
  <r>
    <n v="597"/>
    <n v="67"/>
    <s v="Male"/>
    <s v="Prostate Cancer"/>
    <s v="Radiation Therapy"/>
    <n v="20000"/>
    <n v="48"/>
    <s v="No"/>
    <s v="Recovered"/>
    <n v="3"/>
    <x v="1"/>
    <s v="High"/>
    <s v="No"/>
  </r>
  <r>
    <n v="598"/>
    <n v="35"/>
    <s v="Female"/>
    <s v="Childbirth"/>
    <s v="Delivery and Postnatal Care"/>
    <n v="12000"/>
    <n v="42"/>
    <s v="No"/>
    <s v="Recovered"/>
    <n v="4"/>
    <x v="2"/>
    <s v="High"/>
    <s v="Yes"/>
  </r>
  <r>
    <n v="599"/>
    <n v="50"/>
    <s v="Male"/>
    <s v="Kidney Stones"/>
    <s v="Lithotripsy"/>
    <n v="6000"/>
    <n v="43"/>
    <s v="No"/>
    <s v="Recovered"/>
    <n v="3"/>
    <x v="0"/>
    <s v="Medium"/>
    <s v="No"/>
  </r>
  <r>
    <n v="601"/>
    <n v="48"/>
    <s v="Female"/>
    <s v="Heart Disease"/>
    <s v="Angioplasty"/>
    <n v="15000"/>
    <n v="45"/>
    <s v="Yes"/>
    <s v="Recovered"/>
    <n v="4"/>
    <x v="0"/>
    <s v="High"/>
    <s v="Yes"/>
  </r>
  <r>
    <n v="602"/>
    <n v="65"/>
    <s v="Male"/>
    <s v="Diabetes"/>
    <s v="Insulin Therapy"/>
    <n v="2000"/>
    <n v="43"/>
    <s v="No"/>
    <s v="Stable"/>
    <n v="3"/>
    <x v="1"/>
    <s v="Medium"/>
    <s v="No"/>
  </r>
  <r>
    <n v="603"/>
    <n v="30"/>
    <s v="Female"/>
    <s v="Fractured Arm"/>
    <s v="X-Ray and Splint"/>
    <n v="500"/>
    <n v="41"/>
    <s v="No"/>
    <s v="Recovered"/>
    <n v="5"/>
    <x v="2"/>
    <s v="Low"/>
    <s v="Yes"/>
  </r>
  <r>
    <n v="604"/>
    <n v="70"/>
    <s v="Male"/>
    <s v="Stroke"/>
    <s v="CT Scan and Medication"/>
    <n v="10000"/>
    <n v="48"/>
    <s v="Yes"/>
    <s v="Stable"/>
    <n v="2"/>
    <x v="1"/>
    <s v="High"/>
    <s v="No"/>
  </r>
  <r>
    <n v="605"/>
    <n v="55"/>
    <s v="Female"/>
    <s v="Cancer"/>
    <s v="Surgery and Chemotherapy"/>
    <n v="25000"/>
    <n v="50"/>
    <s v="No"/>
    <s v="Recovered"/>
    <n v="4"/>
    <x v="0"/>
    <s v="High"/>
    <s v="Yes"/>
  </r>
  <r>
    <n v="606"/>
    <n v="68"/>
    <s v="Male"/>
    <s v="Hypertension"/>
    <s v="Medication and Counseling"/>
    <n v="1000"/>
    <n v="44"/>
    <s v="No"/>
    <s v="Stable"/>
    <n v="4"/>
    <x v="1"/>
    <s v="Low"/>
    <s v="Yes"/>
  </r>
  <r>
    <n v="607"/>
    <n v="45"/>
    <s v="Female"/>
    <s v="Appendicitis"/>
    <s v="Appendectomy"/>
    <n v="8000"/>
    <n v="46"/>
    <s v="No"/>
    <s v="Recovered"/>
    <n v="3"/>
    <x v="0"/>
    <s v="Medium"/>
    <s v="No"/>
  </r>
  <r>
    <n v="608"/>
    <n v="40"/>
    <s v="Male"/>
    <s v="Fractured Leg"/>
    <s v="Cast and Physical Therapy"/>
    <n v="3000"/>
    <n v="46"/>
    <s v="No"/>
    <s v="Recovered"/>
    <n v="4"/>
    <x v="2"/>
    <s v="Medium"/>
    <s v="Yes"/>
  </r>
  <r>
    <n v="609"/>
    <n v="78"/>
    <s v="Female"/>
    <s v="Heart Attack"/>
    <s v="Cardiac Catheterization"/>
    <n v="18000"/>
    <n v="48"/>
    <s v="Yes"/>
    <s v="Stable"/>
    <n v="2"/>
    <x v="3"/>
    <s v="High"/>
    <s v="No"/>
  </r>
  <r>
    <n v="610"/>
    <n v="25"/>
    <s v="Male"/>
    <s v="Allergic Reaction"/>
    <s v="Epinephrine Injection"/>
    <n v="100"/>
    <n v="41"/>
    <s v="No"/>
    <s v="Recovered"/>
    <n v="5"/>
    <x v="4"/>
    <s v="Low"/>
    <s v="Yes"/>
  </r>
  <r>
    <n v="611"/>
    <n v="52"/>
    <s v="Female"/>
    <s v="Respiratory Infection"/>
    <s v="Antibiotics and Rest"/>
    <n v="800"/>
    <n v="42"/>
    <s v="No"/>
    <s v="Stable"/>
    <n v="4"/>
    <x v="0"/>
    <s v="Low"/>
    <s v="Yes"/>
  </r>
  <r>
    <n v="612"/>
    <n v="58"/>
    <s v="Male"/>
    <s v="Prostate Cancer"/>
    <s v="Radiation Therapy"/>
    <n v="20000"/>
    <n v="49"/>
    <s v="No"/>
    <s v="Recovered"/>
    <n v="3"/>
    <x v="0"/>
    <s v="High"/>
    <s v="No"/>
  </r>
  <r>
    <n v="613"/>
    <n v="32"/>
    <s v="Female"/>
    <s v="Childbirth"/>
    <s v="Delivery and Postnatal Care"/>
    <n v="12000"/>
    <n v="43"/>
    <s v="No"/>
    <s v="Recovered"/>
    <n v="4"/>
    <x v="2"/>
    <s v="High"/>
    <s v="Yes"/>
  </r>
  <r>
    <n v="614"/>
    <n v="55"/>
    <s v="Male"/>
    <s v="Kidney Stones"/>
    <s v="Lithotripsy"/>
    <n v="6000"/>
    <n v="44"/>
    <s v="No"/>
    <s v="Recovered"/>
    <n v="3"/>
    <x v="0"/>
    <s v="Medium"/>
    <s v="No"/>
  </r>
  <r>
    <n v="615"/>
    <n v="65"/>
    <s v="Female"/>
    <s v="Osteoarthritis"/>
    <s v="Physical Therapy and Pain Management"/>
    <n v="4000"/>
    <n v="45"/>
    <s v="No"/>
    <s v="Stable"/>
    <n v="4"/>
    <x v="1"/>
    <s v="Medium"/>
    <s v="Yes"/>
  </r>
  <r>
    <n v="616"/>
    <n v="55"/>
    <s v="Female"/>
    <s v="Heart Disease"/>
    <s v="Angioplasty"/>
    <n v="15000"/>
    <n v="46"/>
    <s v="Yes"/>
    <s v="Recovered"/>
    <n v="3"/>
    <x v="0"/>
    <s v="High"/>
    <s v="No"/>
  </r>
  <r>
    <n v="617"/>
    <n v="62"/>
    <s v="Male"/>
    <s v="Diabetes"/>
    <s v="Insulin Therapy"/>
    <n v="2000"/>
    <n v="44"/>
    <s v="No"/>
    <s v="Stable"/>
    <n v="4"/>
    <x v="1"/>
    <s v="Medium"/>
    <s v="Yes"/>
  </r>
  <r>
    <n v="618"/>
    <n v="35"/>
    <s v="Female"/>
    <s v="Fractured Arm"/>
    <s v="X-Ray and Splint"/>
    <n v="500"/>
    <n v="42"/>
    <s v="Yes"/>
    <s v="Recovered"/>
    <n v="5"/>
    <x v="2"/>
    <s v="Low"/>
    <s v="Yes"/>
  </r>
  <r>
    <n v="619"/>
    <n v="78"/>
    <s v="Male"/>
    <s v="Stroke"/>
    <s v="CT Scan and Medication"/>
    <n v="10000"/>
    <n v="49"/>
    <s v="No"/>
    <s v="Stable"/>
    <n v="2"/>
    <x v="3"/>
    <s v="High"/>
    <s v="No"/>
  </r>
  <r>
    <n v="620"/>
    <n v="53"/>
    <s v="Female"/>
    <s v="Cancer"/>
    <s v="Surgery and Chemotherapy"/>
    <n v="25000"/>
    <n v="51"/>
    <s v="Yes"/>
    <s v="Recovered"/>
    <n v="4"/>
    <x v="0"/>
    <s v="High"/>
    <s v="Yes"/>
  </r>
  <r>
    <n v="621"/>
    <n v="72"/>
    <s v="Male"/>
    <s v="Hypertension"/>
    <s v="Medication and Counseling"/>
    <n v="1000"/>
    <n v="45"/>
    <s v="No"/>
    <s v="Stable"/>
    <n v="4"/>
    <x v="1"/>
    <s v="Low"/>
    <s v="Yes"/>
  </r>
  <r>
    <n v="622"/>
    <n v="60"/>
    <s v="Female"/>
    <s v="Appendicitis"/>
    <s v="Appendectomy"/>
    <n v="8000"/>
    <n v="47"/>
    <s v="Yes"/>
    <s v="Recovered"/>
    <n v="3"/>
    <x v="1"/>
    <s v="Medium"/>
    <s v="No"/>
  </r>
  <r>
    <n v="623"/>
    <n v="45"/>
    <s v="Male"/>
    <s v="Fractured Leg"/>
    <s v="Cast and Physical Therapy"/>
    <n v="3000"/>
    <n v="47"/>
    <s v="No"/>
    <s v="Recovered"/>
    <n v="4"/>
    <x v="0"/>
    <s v="Medium"/>
    <s v="Yes"/>
  </r>
  <r>
    <n v="624"/>
    <n v="75"/>
    <s v="Female"/>
    <s v="Heart Attack"/>
    <s v="Cardiac Catheterization"/>
    <n v="18000"/>
    <n v="49"/>
    <s v="Yes"/>
    <s v="Stable"/>
    <n v="2"/>
    <x v="3"/>
    <s v="High"/>
    <s v="No"/>
  </r>
  <r>
    <n v="625"/>
    <n v="28"/>
    <s v="Male"/>
    <s v="Allergic Reaction"/>
    <s v="Epinephrine Injection"/>
    <n v="100"/>
    <n v="42"/>
    <s v="No"/>
    <s v="Recovered"/>
    <n v="5"/>
    <x v="4"/>
    <s v="Low"/>
    <s v="Yes"/>
  </r>
  <r>
    <n v="626"/>
    <n v="52"/>
    <s v="Female"/>
    <s v="Respiratory Infection"/>
    <s v="Antibiotics and Rest"/>
    <n v="800"/>
    <n v="43"/>
    <s v="No"/>
    <s v="Stable"/>
    <n v="4"/>
    <x v="0"/>
    <s v="Low"/>
    <s v="Yes"/>
  </r>
  <r>
    <n v="627"/>
    <n v="67"/>
    <s v="Male"/>
    <s v="Prostate Cancer"/>
    <s v="Radiation Therapy"/>
    <n v="20000"/>
    <n v="50"/>
    <s v="No"/>
    <s v="Recovered"/>
    <n v="3"/>
    <x v="1"/>
    <s v="High"/>
    <s v="No"/>
  </r>
  <r>
    <n v="628"/>
    <n v="35"/>
    <s v="Female"/>
    <s v="Childbirth"/>
    <s v="Delivery and Postnatal Care"/>
    <n v="12000"/>
    <n v="44"/>
    <s v="No"/>
    <s v="Recovered"/>
    <n v="4"/>
    <x v="2"/>
    <s v="High"/>
    <s v="Yes"/>
  </r>
  <r>
    <n v="629"/>
    <n v="50"/>
    <s v="Male"/>
    <s v="Kidney Stones"/>
    <s v="Lithotripsy"/>
    <n v="6000"/>
    <n v="45"/>
    <s v="No"/>
    <s v="Recovered"/>
    <n v="3"/>
    <x v="0"/>
    <s v="Medium"/>
    <s v="No"/>
  </r>
  <r>
    <n v="630"/>
    <n v="60"/>
    <s v="Female"/>
    <s v="Osteoarthritis"/>
    <s v="Physical Therapy and Pain Management"/>
    <n v="4000"/>
    <n v="46"/>
    <s v="No"/>
    <s v="Stable"/>
    <n v="4"/>
    <x v="1"/>
    <s v="Medium"/>
    <s v="Yes"/>
  </r>
  <r>
    <n v="631"/>
    <n v="48"/>
    <s v="Female"/>
    <s v="Heart Disease"/>
    <s v="Angioplasty"/>
    <n v="15000"/>
    <n v="47"/>
    <s v="Yes"/>
    <s v="Recovered"/>
    <n v="4"/>
    <x v="0"/>
    <s v="High"/>
    <s v="Yes"/>
  </r>
  <r>
    <n v="632"/>
    <n v="65"/>
    <s v="Male"/>
    <s v="Diabetes"/>
    <s v="Insulin Therapy"/>
    <n v="2000"/>
    <n v="45"/>
    <s v="No"/>
    <s v="Stable"/>
    <n v="3"/>
    <x v="1"/>
    <s v="Medium"/>
    <s v="No"/>
  </r>
  <r>
    <n v="633"/>
    <n v="30"/>
    <s v="Female"/>
    <s v="Fractured Arm"/>
    <s v="X-Ray and Splint"/>
    <n v="500"/>
    <n v="43"/>
    <s v="No"/>
    <s v="Recovered"/>
    <n v="5"/>
    <x v="2"/>
    <s v="Low"/>
    <s v="Yes"/>
  </r>
  <r>
    <n v="634"/>
    <n v="70"/>
    <s v="Male"/>
    <s v="Stroke"/>
    <s v="CT Scan and Medication"/>
    <n v="10000"/>
    <n v="50"/>
    <s v="Yes"/>
    <s v="Stable"/>
    <n v="2"/>
    <x v="1"/>
    <s v="High"/>
    <s v="No"/>
  </r>
  <r>
    <n v="635"/>
    <n v="55"/>
    <s v="Female"/>
    <s v="Cancer"/>
    <s v="Surgery and Chemotherapy"/>
    <n v="25000"/>
    <n v="52"/>
    <s v="No"/>
    <s v="Recovered"/>
    <n v="4"/>
    <x v="0"/>
    <s v="High"/>
    <s v="Yes"/>
  </r>
  <r>
    <n v="636"/>
    <n v="68"/>
    <s v="Male"/>
    <s v="Hypertension"/>
    <s v="Medication and Counseling"/>
    <n v="1000"/>
    <n v="46"/>
    <s v="No"/>
    <s v="Stable"/>
    <n v="4"/>
    <x v="1"/>
    <s v="Low"/>
    <s v="Yes"/>
  </r>
  <r>
    <n v="637"/>
    <n v="45"/>
    <s v="Female"/>
    <s v="Appendicitis"/>
    <s v="Appendectomy"/>
    <n v="8000"/>
    <n v="48"/>
    <s v="No"/>
    <s v="Recovered"/>
    <n v="3"/>
    <x v="0"/>
    <s v="Medium"/>
    <s v="No"/>
  </r>
  <r>
    <n v="638"/>
    <n v="40"/>
    <s v="Male"/>
    <s v="Fractured Leg"/>
    <s v="Cast and Physical Therapy"/>
    <n v="3000"/>
    <n v="48"/>
    <s v="No"/>
    <s v="Recovered"/>
    <n v="4"/>
    <x v="2"/>
    <s v="Medium"/>
    <s v="Yes"/>
  </r>
  <r>
    <n v="639"/>
    <n v="78"/>
    <s v="Female"/>
    <s v="Heart Attack"/>
    <s v="Cardiac Catheterization"/>
    <n v="18000"/>
    <n v="50"/>
    <s v="Yes"/>
    <s v="Stable"/>
    <n v="2"/>
    <x v="3"/>
    <s v="High"/>
    <s v="No"/>
  </r>
  <r>
    <n v="640"/>
    <n v="25"/>
    <s v="Male"/>
    <s v="Allergic Reaction"/>
    <s v="Epinephrine Injection"/>
    <n v="100"/>
    <n v="43"/>
    <s v="No"/>
    <s v="Recovered"/>
    <n v="5"/>
    <x v="4"/>
    <s v="Low"/>
    <s v="Yes"/>
  </r>
  <r>
    <n v="641"/>
    <n v="52"/>
    <s v="Female"/>
    <s v="Respiratory Infection"/>
    <s v="Antibiotics and Rest"/>
    <n v="800"/>
    <n v="44"/>
    <s v="No"/>
    <s v="Stable"/>
    <n v="4"/>
    <x v="0"/>
    <s v="Low"/>
    <s v="Yes"/>
  </r>
  <r>
    <n v="642"/>
    <n v="58"/>
    <s v="Male"/>
    <s v="Prostate Cancer"/>
    <s v="Radiation Therapy"/>
    <n v="20000"/>
    <n v="51"/>
    <s v="No"/>
    <s v="Recovered"/>
    <n v="3"/>
    <x v="0"/>
    <s v="High"/>
    <s v="No"/>
  </r>
  <r>
    <n v="643"/>
    <n v="32"/>
    <s v="Female"/>
    <s v="Childbirth"/>
    <s v="Delivery and Postnatal Care"/>
    <n v="12000"/>
    <n v="45"/>
    <s v="No"/>
    <s v="Recovered"/>
    <n v="4"/>
    <x v="2"/>
    <s v="High"/>
    <s v="Yes"/>
  </r>
  <r>
    <n v="644"/>
    <n v="55"/>
    <s v="Male"/>
    <s v="Kidney Stones"/>
    <s v="Lithotripsy"/>
    <n v="6000"/>
    <n v="46"/>
    <s v="No"/>
    <s v="Recovered"/>
    <n v="3"/>
    <x v="0"/>
    <s v="Medium"/>
    <s v="No"/>
  </r>
  <r>
    <n v="645"/>
    <n v="65"/>
    <s v="Female"/>
    <s v="Osteoarthritis"/>
    <s v="Physical Therapy and Pain Management"/>
    <n v="4000"/>
    <n v="47"/>
    <s v="No"/>
    <s v="Stable"/>
    <n v="4"/>
    <x v="1"/>
    <s v="Medium"/>
    <s v="Yes"/>
  </r>
  <r>
    <n v="646"/>
    <n v="55"/>
    <s v="Female"/>
    <s v="Heart Disease"/>
    <s v="Angioplasty"/>
    <n v="15000"/>
    <n v="48"/>
    <s v="Yes"/>
    <s v="Recovered"/>
    <n v="3"/>
    <x v="0"/>
    <s v="High"/>
    <s v="No"/>
  </r>
  <r>
    <n v="647"/>
    <n v="62"/>
    <s v="Male"/>
    <s v="Diabetes"/>
    <s v="Insulin Therapy"/>
    <n v="2000"/>
    <n v="46"/>
    <s v="No"/>
    <s v="Stable"/>
    <n v="4"/>
    <x v="1"/>
    <s v="Medium"/>
    <s v="Yes"/>
  </r>
  <r>
    <n v="648"/>
    <n v="35"/>
    <s v="Female"/>
    <s v="Fractured Arm"/>
    <s v="X-Ray and Splint"/>
    <n v="500"/>
    <n v="44"/>
    <s v="Yes"/>
    <s v="Recovered"/>
    <n v="5"/>
    <x v="2"/>
    <s v="Low"/>
    <s v="Yes"/>
  </r>
  <r>
    <n v="649"/>
    <n v="78"/>
    <s v="Male"/>
    <s v="Stroke"/>
    <s v="CT Scan and Medication"/>
    <n v="10000"/>
    <n v="51"/>
    <s v="No"/>
    <s v="Stable"/>
    <n v="2"/>
    <x v="3"/>
    <s v="High"/>
    <s v="No"/>
  </r>
  <r>
    <n v="650"/>
    <n v="53"/>
    <s v="Female"/>
    <s v="Cancer"/>
    <s v="Surgery and Chemotherapy"/>
    <n v="25000"/>
    <n v="53"/>
    <s v="Yes"/>
    <s v="Recovered"/>
    <n v="4"/>
    <x v="0"/>
    <s v="High"/>
    <s v="Yes"/>
  </r>
  <r>
    <n v="651"/>
    <n v="72"/>
    <s v="Male"/>
    <s v="Hypertension"/>
    <s v="Medication and Counseling"/>
    <n v="1000"/>
    <n v="47"/>
    <s v="No"/>
    <s v="Stable"/>
    <n v="4"/>
    <x v="1"/>
    <s v="Low"/>
    <s v="Yes"/>
  </r>
  <r>
    <n v="652"/>
    <n v="60"/>
    <s v="Female"/>
    <s v="Appendicitis"/>
    <s v="Appendectomy"/>
    <n v="8000"/>
    <n v="49"/>
    <s v="Yes"/>
    <s v="Recovered"/>
    <n v="3"/>
    <x v="1"/>
    <s v="Medium"/>
    <s v="No"/>
  </r>
  <r>
    <n v="653"/>
    <n v="45"/>
    <s v="Male"/>
    <s v="Fractured Leg"/>
    <s v="Cast and Physical Therapy"/>
    <n v="3000"/>
    <n v="49"/>
    <s v="No"/>
    <s v="Recovered"/>
    <n v="4"/>
    <x v="0"/>
    <s v="Medium"/>
    <s v="Yes"/>
  </r>
  <r>
    <n v="654"/>
    <n v="75"/>
    <s v="Female"/>
    <s v="Heart Attack"/>
    <s v="Cardiac Catheterization"/>
    <n v="18000"/>
    <n v="51"/>
    <s v="Yes"/>
    <s v="Stable"/>
    <n v="2"/>
    <x v="3"/>
    <s v="High"/>
    <s v="No"/>
  </r>
  <r>
    <n v="655"/>
    <n v="28"/>
    <s v="Male"/>
    <s v="Allergic Reaction"/>
    <s v="Epinephrine Injection"/>
    <n v="100"/>
    <n v="44"/>
    <s v="No"/>
    <s v="Recovered"/>
    <n v="5"/>
    <x v="4"/>
    <s v="Low"/>
    <s v="Yes"/>
  </r>
  <r>
    <n v="656"/>
    <n v="52"/>
    <s v="Female"/>
    <s v="Respiratory Infection"/>
    <s v="Antibiotics and Rest"/>
    <n v="800"/>
    <n v="45"/>
    <s v="No"/>
    <s v="Stable"/>
    <n v="4"/>
    <x v="0"/>
    <s v="Low"/>
    <s v="Yes"/>
  </r>
  <r>
    <n v="657"/>
    <n v="67"/>
    <s v="Male"/>
    <s v="Prostate Cancer"/>
    <s v="Radiation Therapy"/>
    <n v="20000"/>
    <n v="52"/>
    <s v="No"/>
    <s v="Recovered"/>
    <n v="3"/>
    <x v="1"/>
    <s v="High"/>
    <s v="No"/>
  </r>
  <r>
    <n v="658"/>
    <n v="35"/>
    <s v="Female"/>
    <s v="Childbirth"/>
    <s v="Delivery and Postnatal Care"/>
    <n v="12000"/>
    <n v="46"/>
    <s v="No"/>
    <s v="Recovered"/>
    <n v="4"/>
    <x v="2"/>
    <s v="High"/>
    <s v="Yes"/>
  </r>
  <r>
    <n v="659"/>
    <n v="50"/>
    <s v="Male"/>
    <s v="Kidney Stones"/>
    <s v="Lithotripsy"/>
    <n v="6000"/>
    <n v="47"/>
    <s v="No"/>
    <s v="Recovered"/>
    <n v="3"/>
    <x v="0"/>
    <s v="Medium"/>
    <s v="No"/>
  </r>
  <r>
    <n v="660"/>
    <n v="60"/>
    <s v="Female"/>
    <s v="Osteoarthritis"/>
    <s v="Physical Therapy and Pain Management"/>
    <n v="4000"/>
    <n v="48"/>
    <s v="No"/>
    <s v="Stable"/>
    <n v="4"/>
    <x v="1"/>
    <s v="Medium"/>
    <s v="Yes"/>
  </r>
  <r>
    <n v="662"/>
    <n v="65"/>
    <s v="Male"/>
    <s v="Diabetes"/>
    <s v="Insulin Therapy"/>
    <n v="2000"/>
    <n v="47"/>
    <s v="No"/>
    <s v="Stable"/>
    <n v="3"/>
    <x v="1"/>
    <s v="Medium"/>
    <s v="No"/>
  </r>
  <r>
    <n v="663"/>
    <n v="30"/>
    <s v="Female"/>
    <s v="Fractured Arm"/>
    <s v="X-Ray and Splint"/>
    <n v="500"/>
    <n v="45"/>
    <s v="No"/>
    <s v="Recovered"/>
    <n v="5"/>
    <x v="2"/>
    <s v="Low"/>
    <s v="Yes"/>
  </r>
  <r>
    <n v="664"/>
    <n v="70"/>
    <s v="Male"/>
    <s v="Stroke"/>
    <s v="CT Scan and Medication"/>
    <n v="10000"/>
    <n v="52"/>
    <s v="Yes"/>
    <s v="Stable"/>
    <n v="2"/>
    <x v="1"/>
    <s v="High"/>
    <s v="No"/>
  </r>
  <r>
    <n v="665"/>
    <n v="55"/>
    <s v="Female"/>
    <s v="Cancer"/>
    <s v="Surgery and Chemotherapy"/>
    <n v="25000"/>
    <n v="54"/>
    <s v="No"/>
    <s v="Recovered"/>
    <n v="4"/>
    <x v="0"/>
    <s v="High"/>
    <s v="Yes"/>
  </r>
  <r>
    <n v="666"/>
    <n v="68"/>
    <s v="Male"/>
    <s v="Hypertension"/>
    <s v="Medication and Counseling"/>
    <n v="1000"/>
    <n v="48"/>
    <s v="No"/>
    <s v="Stable"/>
    <n v="4"/>
    <x v="1"/>
    <s v="Low"/>
    <s v="Yes"/>
  </r>
  <r>
    <n v="667"/>
    <n v="45"/>
    <s v="Female"/>
    <s v="Appendicitis"/>
    <s v="Appendectomy"/>
    <n v="8000"/>
    <n v="50"/>
    <s v="No"/>
    <s v="Recovered"/>
    <n v="3"/>
    <x v="0"/>
    <s v="Medium"/>
    <s v="No"/>
  </r>
  <r>
    <n v="668"/>
    <n v="40"/>
    <s v="Male"/>
    <s v="Fractured Leg"/>
    <s v="Cast and Physical Therapy"/>
    <n v="3000"/>
    <n v="50"/>
    <s v="No"/>
    <s v="Recovered"/>
    <n v="4"/>
    <x v="2"/>
    <s v="Medium"/>
    <s v="Yes"/>
  </r>
  <r>
    <n v="669"/>
    <n v="78"/>
    <s v="Female"/>
    <s v="Heart Attack"/>
    <s v="Cardiac Catheterization"/>
    <n v="18000"/>
    <n v="52"/>
    <s v="Yes"/>
    <s v="Stable"/>
    <n v="2"/>
    <x v="3"/>
    <s v="High"/>
    <s v="No"/>
  </r>
  <r>
    <n v="670"/>
    <n v="25"/>
    <s v="Male"/>
    <s v="Allergic Reaction"/>
    <s v="Epinephrine Injection"/>
    <n v="100"/>
    <n v="45"/>
    <s v="No"/>
    <s v="Recovered"/>
    <n v="5"/>
    <x v="4"/>
    <s v="Low"/>
    <s v="Yes"/>
  </r>
  <r>
    <n v="671"/>
    <n v="52"/>
    <s v="Female"/>
    <s v="Respiratory Infection"/>
    <s v="Antibiotics and Rest"/>
    <n v="800"/>
    <n v="46"/>
    <s v="No"/>
    <s v="Stable"/>
    <n v="4"/>
    <x v="0"/>
    <s v="Low"/>
    <s v="Yes"/>
  </r>
  <r>
    <n v="672"/>
    <n v="58"/>
    <s v="Male"/>
    <s v="Prostate Cancer"/>
    <s v="Radiation Therapy"/>
    <n v="20000"/>
    <n v="53"/>
    <s v="No"/>
    <s v="Recovered"/>
    <n v="3"/>
    <x v="0"/>
    <s v="High"/>
    <s v="No"/>
  </r>
  <r>
    <n v="673"/>
    <n v="32"/>
    <s v="Female"/>
    <s v="Childbirth"/>
    <s v="Delivery and Postnatal Care"/>
    <n v="12000"/>
    <n v="47"/>
    <s v="No"/>
    <s v="Recovered"/>
    <n v="4"/>
    <x v="2"/>
    <s v="High"/>
    <s v="Yes"/>
  </r>
  <r>
    <n v="674"/>
    <n v="55"/>
    <s v="Male"/>
    <s v="Kidney Stones"/>
    <s v="Lithotripsy"/>
    <n v="6000"/>
    <n v="48"/>
    <s v="No"/>
    <s v="Recovered"/>
    <n v="3"/>
    <x v="0"/>
    <s v="Medium"/>
    <s v="No"/>
  </r>
  <r>
    <n v="675"/>
    <n v="65"/>
    <s v="Female"/>
    <s v="Osteoarthritis"/>
    <s v="Physical Therapy and Pain Management"/>
    <n v="4000"/>
    <n v="49"/>
    <s v="No"/>
    <s v="Stable"/>
    <n v="4"/>
    <x v="1"/>
    <s v="Medium"/>
    <s v="Yes"/>
  </r>
  <r>
    <n v="676"/>
    <n v="55"/>
    <s v="Female"/>
    <s v="Heart Disease"/>
    <s v="Angioplasty"/>
    <n v="15000"/>
    <n v="50"/>
    <s v="Yes"/>
    <s v="Recovered"/>
    <n v="3"/>
    <x v="0"/>
    <s v="High"/>
    <s v="No"/>
  </r>
  <r>
    <n v="677"/>
    <n v="62"/>
    <s v="Male"/>
    <s v="Diabetes"/>
    <s v="Insulin Therapy"/>
    <n v="2000"/>
    <n v="48"/>
    <s v="No"/>
    <s v="Stable"/>
    <n v="4"/>
    <x v="1"/>
    <s v="Medium"/>
    <s v="Yes"/>
  </r>
  <r>
    <n v="678"/>
    <n v="35"/>
    <s v="Female"/>
    <s v="Fractured Arm"/>
    <s v="X-Ray and Splint"/>
    <n v="500"/>
    <n v="46"/>
    <s v="Yes"/>
    <s v="Recovered"/>
    <n v="5"/>
    <x v="2"/>
    <s v="Low"/>
    <s v="Yes"/>
  </r>
  <r>
    <n v="679"/>
    <n v="78"/>
    <s v="Male"/>
    <s v="Stroke"/>
    <s v="CT Scan and Medication"/>
    <n v="10000"/>
    <n v="53"/>
    <s v="No"/>
    <s v="Stable"/>
    <n v="2"/>
    <x v="3"/>
    <s v="High"/>
    <s v="No"/>
  </r>
  <r>
    <n v="680"/>
    <n v="53"/>
    <s v="Female"/>
    <s v="Cancer"/>
    <s v="Surgery and Chemotherapy"/>
    <n v="25000"/>
    <n v="55"/>
    <s v="Yes"/>
    <s v="Recovered"/>
    <n v="4"/>
    <x v="0"/>
    <s v="High"/>
    <s v="Yes"/>
  </r>
  <r>
    <n v="681"/>
    <n v="72"/>
    <s v="Male"/>
    <s v="Hypertension"/>
    <s v="Medication and Counseling"/>
    <n v="1000"/>
    <n v="49"/>
    <s v="No"/>
    <s v="Stable"/>
    <n v="4"/>
    <x v="1"/>
    <s v="Low"/>
    <s v="Yes"/>
  </r>
  <r>
    <n v="682"/>
    <n v="60"/>
    <s v="Female"/>
    <s v="Appendicitis"/>
    <s v="Appendectomy"/>
    <n v="8000"/>
    <n v="51"/>
    <s v="Yes"/>
    <s v="Recovered"/>
    <n v="3"/>
    <x v="1"/>
    <s v="Medium"/>
    <s v="No"/>
  </r>
  <r>
    <n v="683"/>
    <n v="45"/>
    <s v="Male"/>
    <s v="Fractured Leg"/>
    <s v="Cast and Physical Therapy"/>
    <n v="3000"/>
    <n v="51"/>
    <s v="No"/>
    <s v="Recovered"/>
    <n v="4"/>
    <x v="0"/>
    <s v="Medium"/>
    <s v="Yes"/>
  </r>
  <r>
    <n v="684"/>
    <n v="75"/>
    <s v="Female"/>
    <s v="Heart Attack"/>
    <s v="Cardiac Catheterization"/>
    <n v="18000"/>
    <n v="53"/>
    <s v="Yes"/>
    <s v="Stable"/>
    <n v="2"/>
    <x v="3"/>
    <s v="High"/>
    <s v="No"/>
  </r>
  <r>
    <n v="685"/>
    <n v="28"/>
    <s v="Male"/>
    <s v="Allergic Reaction"/>
    <s v="Epinephrine Injection"/>
    <n v="100"/>
    <n v="46"/>
    <s v="No"/>
    <s v="Recovered"/>
    <n v="5"/>
    <x v="4"/>
    <s v="Low"/>
    <s v="Yes"/>
  </r>
  <r>
    <n v="686"/>
    <n v="52"/>
    <s v="Female"/>
    <s v="Respiratory Infection"/>
    <s v="Antibiotics and Rest"/>
    <n v="800"/>
    <n v="47"/>
    <s v="No"/>
    <s v="Stable"/>
    <n v="4"/>
    <x v="0"/>
    <s v="Low"/>
    <s v="Yes"/>
  </r>
  <r>
    <n v="687"/>
    <n v="67"/>
    <s v="Male"/>
    <s v="Prostate Cancer"/>
    <s v="Radiation Therapy"/>
    <n v="20000"/>
    <n v="54"/>
    <s v="No"/>
    <s v="Recovered"/>
    <n v="3"/>
    <x v="1"/>
    <s v="High"/>
    <s v="No"/>
  </r>
  <r>
    <n v="688"/>
    <n v="35"/>
    <s v="Female"/>
    <s v="Childbirth"/>
    <s v="Delivery and Postnatal Care"/>
    <n v="12000"/>
    <n v="48"/>
    <s v="No"/>
    <s v="Recovered"/>
    <n v="4"/>
    <x v="2"/>
    <s v="High"/>
    <s v="Yes"/>
  </r>
  <r>
    <n v="689"/>
    <n v="50"/>
    <s v="Male"/>
    <s v="Kidney Stones"/>
    <s v="Lithotripsy"/>
    <n v="6000"/>
    <n v="49"/>
    <s v="No"/>
    <s v="Recovered"/>
    <n v="3"/>
    <x v="0"/>
    <s v="Medium"/>
    <s v="No"/>
  </r>
  <r>
    <n v="690"/>
    <n v="60"/>
    <s v="Female"/>
    <s v="Osteoarthritis"/>
    <s v="Physical Therapy and Pain Management"/>
    <n v="4000"/>
    <n v="50"/>
    <s v="No"/>
    <s v="Stable"/>
    <n v="4"/>
    <x v="1"/>
    <s v="Medium"/>
    <s v="Yes"/>
  </r>
  <r>
    <n v="691"/>
    <n v="48"/>
    <s v="Female"/>
    <s v="Heart Disease"/>
    <s v="Angioplasty"/>
    <n v="15000"/>
    <n v="51"/>
    <s v="Yes"/>
    <s v="Recovered"/>
    <n v="4"/>
    <x v="0"/>
    <s v="High"/>
    <s v="Yes"/>
  </r>
  <r>
    <n v="692"/>
    <n v="65"/>
    <s v="Male"/>
    <s v="Diabetes"/>
    <s v="Insulin Therapy"/>
    <n v="2000"/>
    <n v="49"/>
    <s v="No"/>
    <s v="Stable"/>
    <n v="3"/>
    <x v="1"/>
    <s v="Medium"/>
    <s v="No"/>
  </r>
  <r>
    <n v="693"/>
    <n v="30"/>
    <s v="Female"/>
    <s v="Fractured Arm"/>
    <s v="X-Ray and Splint"/>
    <n v="500"/>
    <n v="47"/>
    <s v="No"/>
    <s v="Recovered"/>
    <n v="5"/>
    <x v="2"/>
    <s v="Low"/>
    <s v="Yes"/>
  </r>
  <r>
    <n v="694"/>
    <n v="70"/>
    <s v="Male"/>
    <s v="Stroke"/>
    <s v="CT Scan and Medication"/>
    <n v="10000"/>
    <n v="54"/>
    <s v="Yes"/>
    <s v="Stable"/>
    <n v="2"/>
    <x v="1"/>
    <s v="High"/>
    <s v="No"/>
  </r>
  <r>
    <n v="695"/>
    <n v="55"/>
    <s v="Female"/>
    <s v="Cancer"/>
    <s v="Surgery and Chemotherapy"/>
    <n v="25000"/>
    <n v="56"/>
    <s v="No"/>
    <s v="Recovered"/>
    <n v="4"/>
    <x v="0"/>
    <s v="High"/>
    <s v="Yes"/>
  </r>
  <r>
    <n v="696"/>
    <n v="68"/>
    <s v="Male"/>
    <s v="Hypertension"/>
    <s v="Medication and Counseling"/>
    <n v="1000"/>
    <n v="50"/>
    <s v="No"/>
    <s v="Stable"/>
    <n v="4"/>
    <x v="1"/>
    <s v="Low"/>
    <s v="Yes"/>
  </r>
  <r>
    <n v="697"/>
    <n v="45"/>
    <s v="Female"/>
    <s v="Appendicitis"/>
    <s v="Appendectomy"/>
    <n v="8000"/>
    <n v="52"/>
    <s v="No"/>
    <s v="Recovered"/>
    <n v="3"/>
    <x v="0"/>
    <s v="Medium"/>
    <s v="No"/>
  </r>
  <r>
    <n v="698"/>
    <n v="40"/>
    <s v="Male"/>
    <s v="Fractured Leg"/>
    <s v="Cast and Physical Therapy"/>
    <n v="3000"/>
    <n v="52"/>
    <s v="No"/>
    <s v="Recovered"/>
    <n v="4"/>
    <x v="2"/>
    <s v="Medium"/>
    <s v="Yes"/>
  </r>
  <r>
    <n v="699"/>
    <n v="78"/>
    <s v="Female"/>
    <s v="Heart Attack"/>
    <s v="Cardiac Catheterization"/>
    <n v="18000"/>
    <n v="54"/>
    <s v="Yes"/>
    <s v="Stable"/>
    <n v="2"/>
    <x v="3"/>
    <s v="High"/>
    <s v="No"/>
  </r>
  <r>
    <n v="700"/>
    <n v="25"/>
    <s v="Male"/>
    <s v="Allergic Reaction"/>
    <s v="Epinephrine Injection"/>
    <n v="100"/>
    <n v="47"/>
    <s v="No"/>
    <s v="Recovered"/>
    <n v="5"/>
    <x v="4"/>
    <s v="Low"/>
    <s v="Yes"/>
  </r>
  <r>
    <n v="701"/>
    <n v="52"/>
    <s v="Female"/>
    <s v="Respiratory Infection"/>
    <s v="Antibiotics and Rest"/>
    <n v="800"/>
    <n v="48"/>
    <s v="No"/>
    <s v="Stable"/>
    <n v="4"/>
    <x v="0"/>
    <s v="Low"/>
    <s v="Yes"/>
  </r>
  <r>
    <n v="702"/>
    <n v="58"/>
    <s v="Male"/>
    <s v="Prostate Cancer"/>
    <s v="Radiation Therapy"/>
    <n v="20000"/>
    <n v="55"/>
    <s v="No"/>
    <s v="Recovered"/>
    <n v="3"/>
    <x v="0"/>
    <s v="High"/>
    <s v="No"/>
  </r>
  <r>
    <n v="703"/>
    <n v="32"/>
    <s v="Female"/>
    <s v="Childbirth"/>
    <s v="Delivery and Postnatal Care"/>
    <n v="12000"/>
    <n v="49"/>
    <s v="No"/>
    <s v="Recovered"/>
    <n v="4"/>
    <x v="2"/>
    <s v="High"/>
    <s v="Yes"/>
  </r>
  <r>
    <n v="704"/>
    <n v="55"/>
    <s v="Male"/>
    <s v="Kidney Stones"/>
    <s v="Lithotripsy"/>
    <n v="6000"/>
    <n v="50"/>
    <s v="No"/>
    <s v="Recovered"/>
    <n v="3"/>
    <x v="0"/>
    <s v="Medium"/>
    <s v="No"/>
  </r>
  <r>
    <n v="705"/>
    <n v="65"/>
    <s v="Female"/>
    <s v="Osteoarthritis"/>
    <s v="Physical Therapy and Pain Management"/>
    <n v="4000"/>
    <n v="51"/>
    <s v="No"/>
    <s v="Stable"/>
    <n v="4"/>
    <x v="1"/>
    <s v="Medium"/>
    <s v="Yes"/>
  </r>
  <r>
    <n v="706"/>
    <n v="55"/>
    <s v="Female"/>
    <s v="Heart Disease"/>
    <s v="Angioplasty"/>
    <n v="15000"/>
    <n v="52"/>
    <s v="Yes"/>
    <s v="Recovered"/>
    <n v="3"/>
    <x v="0"/>
    <s v="High"/>
    <s v="No"/>
  </r>
  <r>
    <n v="707"/>
    <n v="62"/>
    <s v="Male"/>
    <s v="Diabetes"/>
    <s v="Insulin Therapy"/>
    <n v="2000"/>
    <n v="50"/>
    <s v="No"/>
    <s v="Stable"/>
    <n v="4"/>
    <x v="1"/>
    <s v="Medium"/>
    <s v="Yes"/>
  </r>
  <r>
    <n v="708"/>
    <n v="35"/>
    <s v="Female"/>
    <s v="Fractured Arm"/>
    <s v="X-Ray and Splint"/>
    <n v="500"/>
    <n v="48"/>
    <s v="Yes"/>
    <s v="Recovered"/>
    <n v="5"/>
    <x v="2"/>
    <s v="Low"/>
    <s v="Yes"/>
  </r>
  <r>
    <n v="709"/>
    <n v="78"/>
    <s v="Male"/>
    <s v="Stroke"/>
    <s v="CT Scan and Medication"/>
    <n v="10000"/>
    <n v="55"/>
    <s v="No"/>
    <s v="Stable"/>
    <n v="2"/>
    <x v="3"/>
    <s v="High"/>
    <s v="No"/>
  </r>
  <r>
    <n v="710"/>
    <n v="53"/>
    <s v="Female"/>
    <s v="Cancer"/>
    <s v="Surgery and Chemotherapy"/>
    <n v="25000"/>
    <n v="57"/>
    <s v="Yes"/>
    <s v="Recovered"/>
    <n v="4"/>
    <x v="0"/>
    <s v="High"/>
    <s v="Yes"/>
  </r>
  <r>
    <n v="711"/>
    <n v="72"/>
    <s v="Male"/>
    <s v="Hypertension"/>
    <s v="Medication and Counseling"/>
    <n v="1000"/>
    <n v="51"/>
    <s v="No"/>
    <s v="Stable"/>
    <n v="4"/>
    <x v="1"/>
    <s v="Low"/>
    <s v="Yes"/>
  </r>
  <r>
    <n v="712"/>
    <n v="60"/>
    <s v="Female"/>
    <s v="Appendicitis"/>
    <s v="Appendectomy"/>
    <n v="8000"/>
    <n v="53"/>
    <s v="Yes"/>
    <s v="Recovered"/>
    <n v="3"/>
    <x v="1"/>
    <s v="Medium"/>
    <s v="No"/>
  </r>
  <r>
    <n v="713"/>
    <n v="45"/>
    <s v="Male"/>
    <s v="Fractured Leg"/>
    <s v="Cast and Physical Therapy"/>
    <n v="3000"/>
    <n v="53"/>
    <s v="No"/>
    <s v="Recovered"/>
    <n v="4"/>
    <x v="0"/>
    <s v="Medium"/>
    <s v="Yes"/>
  </r>
  <r>
    <n v="714"/>
    <n v="75"/>
    <s v="Female"/>
    <s v="Heart Attack"/>
    <s v="Cardiac Catheterization"/>
    <n v="18000"/>
    <n v="55"/>
    <s v="Yes"/>
    <s v="Stable"/>
    <n v="2"/>
    <x v="3"/>
    <s v="High"/>
    <s v="No"/>
  </r>
  <r>
    <n v="715"/>
    <n v="28"/>
    <s v="Male"/>
    <s v="Allergic Reaction"/>
    <s v="Epinephrine Injection"/>
    <n v="100"/>
    <n v="48"/>
    <s v="No"/>
    <s v="Recovered"/>
    <n v="5"/>
    <x v="4"/>
    <s v="Low"/>
    <s v="Yes"/>
  </r>
  <r>
    <n v="716"/>
    <n v="52"/>
    <s v="Female"/>
    <s v="Respiratory Infection"/>
    <s v="Antibiotics and Rest"/>
    <n v="800"/>
    <n v="49"/>
    <s v="No"/>
    <s v="Stable"/>
    <n v="4"/>
    <x v="0"/>
    <s v="Low"/>
    <s v="Yes"/>
  </r>
  <r>
    <n v="717"/>
    <n v="67"/>
    <s v="Male"/>
    <s v="Prostate Cancer"/>
    <s v="Radiation Therapy"/>
    <n v="20000"/>
    <n v="56"/>
    <s v="No"/>
    <s v="Recovered"/>
    <n v="3"/>
    <x v="1"/>
    <s v="High"/>
    <s v="No"/>
  </r>
  <r>
    <n v="718"/>
    <n v="35"/>
    <s v="Female"/>
    <s v="Childbirth"/>
    <s v="Delivery and Postnatal Care"/>
    <n v="12000"/>
    <n v="50"/>
    <s v="No"/>
    <s v="Recovered"/>
    <n v="4"/>
    <x v="2"/>
    <s v="High"/>
    <s v="Yes"/>
  </r>
  <r>
    <n v="719"/>
    <n v="50"/>
    <s v="Male"/>
    <s v="Kidney Stones"/>
    <s v="Lithotripsy"/>
    <n v="6000"/>
    <n v="51"/>
    <s v="No"/>
    <s v="Recovered"/>
    <n v="3"/>
    <x v="0"/>
    <s v="Medium"/>
    <s v="No"/>
  </r>
  <r>
    <n v="720"/>
    <n v="60"/>
    <s v="Female"/>
    <s v="Osteoarthritis"/>
    <s v="Physical Therapy and Pain Management"/>
    <n v="4000"/>
    <n v="52"/>
    <s v="No"/>
    <s v="Stable"/>
    <n v="4"/>
    <x v="1"/>
    <s v="Medium"/>
    <s v="Yes"/>
  </r>
  <r>
    <n v="721"/>
    <n v="48"/>
    <s v="Female"/>
    <s v="Heart Disease"/>
    <s v="Angioplasty"/>
    <n v="15000"/>
    <n v="53"/>
    <s v="Yes"/>
    <s v="Recovered"/>
    <n v="4"/>
    <x v="0"/>
    <s v="High"/>
    <s v="Yes"/>
  </r>
  <r>
    <n v="723"/>
    <n v="30"/>
    <s v="Female"/>
    <s v="Fractured Arm"/>
    <s v="X-Ray and Splint"/>
    <n v="500"/>
    <n v="49"/>
    <s v="No"/>
    <s v="Recovered"/>
    <n v="5"/>
    <x v="2"/>
    <s v="Low"/>
    <s v="Yes"/>
  </r>
  <r>
    <n v="724"/>
    <n v="70"/>
    <s v="Male"/>
    <s v="Stroke"/>
    <s v="CT Scan and Medication"/>
    <n v="10000"/>
    <n v="56"/>
    <s v="Yes"/>
    <s v="Stable"/>
    <n v="2"/>
    <x v="1"/>
    <s v="High"/>
    <s v="No"/>
  </r>
  <r>
    <n v="725"/>
    <n v="55"/>
    <s v="Female"/>
    <s v="Cancer"/>
    <s v="Surgery and Chemotherapy"/>
    <n v="25000"/>
    <n v="58"/>
    <s v="No"/>
    <s v="Recovered"/>
    <n v="4"/>
    <x v="0"/>
    <s v="High"/>
    <s v="Yes"/>
  </r>
  <r>
    <n v="726"/>
    <n v="68"/>
    <s v="Male"/>
    <s v="Hypertension"/>
    <s v="Medication and Counseling"/>
    <n v="1000"/>
    <n v="52"/>
    <s v="No"/>
    <s v="Stable"/>
    <n v="4"/>
    <x v="1"/>
    <s v="Low"/>
    <s v="Yes"/>
  </r>
  <r>
    <n v="727"/>
    <n v="45"/>
    <s v="Female"/>
    <s v="Appendicitis"/>
    <s v="Appendectomy"/>
    <n v="8000"/>
    <n v="54"/>
    <s v="No"/>
    <s v="Recovered"/>
    <n v="3"/>
    <x v="0"/>
    <s v="Medium"/>
    <s v="No"/>
  </r>
  <r>
    <n v="728"/>
    <n v="40"/>
    <s v="Male"/>
    <s v="Fractured Leg"/>
    <s v="Cast and Physical Therapy"/>
    <n v="3000"/>
    <n v="54"/>
    <s v="No"/>
    <s v="Recovered"/>
    <n v="4"/>
    <x v="2"/>
    <s v="Medium"/>
    <s v="Yes"/>
  </r>
  <r>
    <n v="729"/>
    <n v="78"/>
    <s v="Female"/>
    <s v="Heart Attack"/>
    <s v="Cardiac Catheterization"/>
    <n v="18000"/>
    <n v="56"/>
    <s v="Yes"/>
    <s v="Stable"/>
    <n v="2"/>
    <x v="3"/>
    <s v="High"/>
    <s v="No"/>
  </r>
  <r>
    <n v="730"/>
    <n v="25"/>
    <s v="Male"/>
    <s v="Allergic Reaction"/>
    <s v="Epinephrine Injection"/>
    <n v="100"/>
    <n v="49"/>
    <s v="No"/>
    <s v="Recovered"/>
    <n v="5"/>
    <x v="4"/>
    <s v="Low"/>
    <s v="Yes"/>
  </r>
  <r>
    <n v="731"/>
    <n v="52"/>
    <s v="Female"/>
    <s v="Respiratory Infection"/>
    <s v="Antibiotics and Rest"/>
    <n v="800"/>
    <n v="50"/>
    <s v="No"/>
    <s v="Stable"/>
    <n v="4"/>
    <x v="0"/>
    <s v="Low"/>
    <s v="Yes"/>
  </r>
  <r>
    <n v="732"/>
    <n v="58"/>
    <s v="Male"/>
    <s v="Prostate Cancer"/>
    <s v="Radiation Therapy"/>
    <n v="20000"/>
    <n v="57"/>
    <s v="No"/>
    <s v="Recovered"/>
    <n v="3"/>
    <x v="0"/>
    <s v="High"/>
    <s v="No"/>
  </r>
  <r>
    <n v="733"/>
    <n v="32"/>
    <s v="Female"/>
    <s v="Childbirth"/>
    <s v="Delivery and Postnatal Care"/>
    <n v="12000"/>
    <n v="51"/>
    <s v="No"/>
    <s v="Recovered"/>
    <n v="4"/>
    <x v="2"/>
    <s v="High"/>
    <s v="Yes"/>
  </r>
  <r>
    <n v="734"/>
    <n v="55"/>
    <s v="Male"/>
    <s v="Kidney Stones"/>
    <s v="Lithotripsy"/>
    <n v="6000"/>
    <n v="52"/>
    <s v="No"/>
    <s v="Recovered"/>
    <n v="3"/>
    <x v="0"/>
    <s v="Medium"/>
    <s v="No"/>
  </r>
  <r>
    <n v="735"/>
    <n v="65"/>
    <s v="Female"/>
    <s v="Osteoarthritis"/>
    <s v="Physical Therapy and Pain Management"/>
    <n v="4000"/>
    <n v="53"/>
    <s v="No"/>
    <s v="Stable"/>
    <n v="4"/>
    <x v="1"/>
    <s v="Medium"/>
    <s v="Yes"/>
  </r>
  <r>
    <n v="736"/>
    <n v="55"/>
    <s v="Female"/>
    <s v="Heart Disease"/>
    <s v="Angioplasty"/>
    <n v="15000"/>
    <n v="54"/>
    <s v="Yes"/>
    <s v="Recovered"/>
    <n v="3"/>
    <x v="0"/>
    <s v="High"/>
    <s v="No"/>
  </r>
  <r>
    <n v="737"/>
    <n v="62"/>
    <s v="Male"/>
    <s v="Diabetes"/>
    <s v="Insulin Therapy"/>
    <n v="2000"/>
    <n v="52"/>
    <s v="No"/>
    <s v="Stable"/>
    <n v="4"/>
    <x v="1"/>
    <s v="Medium"/>
    <s v="Yes"/>
  </r>
  <r>
    <n v="738"/>
    <n v="35"/>
    <s v="Female"/>
    <s v="Fractured Arm"/>
    <s v="X-Ray and Splint"/>
    <n v="500"/>
    <n v="50"/>
    <s v="Yes"/>
    <s v="Recovered"/>
    <n v="5"/>
    <x v="2"/>
    <s v="Low"/>
    <s v="Yes"/>
  </r>
  <r>
    <n v="739"/>
    <n v="78"/>
    <s v="Male"/>
    <s v="Stroke"/>
    <s v="CT Scan and Medication"/>
    <n v="10000"/>
    <n v="57"/>
    <s v="No"/>
    <s v="Stable"/>
    <n v="2"/>
    <x v="3"/>
    <s v="High"/>
    <s v="No"/>
  </r>
  <r>
    <n v="740"/>
    <n v="53"/>
    <s v="Female"/>
    <s v="Cancer"/>
    <s v="Surgery and Chemotherapy"/>
    <n v="25000"/>
    <n v="59"/>
    <s v="Yes"/>
    <s v="Recovered"/>
    <n v="4"/>
    <x v="0"/>
    <s v="High"/>
    <s v="Yes"/>
  </r>
  <r>
    <n v="741"/>
    <n v="72"/>
    <s v="Male"/>
    <s v="Hypertension"/>
    <s v="Medication and Counseling"/>
    <n v="1000"/>
    <n v="53"/>
    <s v="No"/>
    <s v="Stable"/>
    <n v="4"/>
    <x v="1"/>
    <s v="Low"/>
    <s v="Yes"/>
  </r>
  <r>
    <n v="742"/>
    <n v="60"/>
    <s v="Female"/>
    <s v="Appendicitis"/>
    <s v="Appendectomy"/>
    <n v="8000"/>
    <n v="55"/>
    <s v="Yes"/>
    <s v="Recovered"/>
    <n v="3"/>
    <x v="1"/>
    <s v="Medium"/>
    <s v="No"/>
  </r>
  <r>
    <n v="743"/>
    <n v="45"/>
    <s v="Male"/>
    <s v="Fractured Leg"/>
    <s v="Cast and Physical Therapy"/>
    <n v="3000"/>
    <n v="55"/>
    <s v="No"/>
    <s v="Recovered"/>
    <n v="4"/>
    <x v="0"/>
    <s v="Medium"/>
    <s v="Yes"/>
  </r>
  <r>
    <n v="744"/>
    <n v="75"/>
    <s v="Female"/>
    <s v="Heart Attack"/>
    <s v="Cardiac Catheterization"/>
    <n v="18000"/>
    <n v="57"/>
    <s v="Yes"/>
    <s v="Stable"/>
    <n v="2"/>
    <x v="3"/>
    <s v="High"/>
    <s v="No"/>
  </r>
  <r>
    <n v="745"/>
    <n v="28"/>
    <s v="Male"/>
    <s v="Allergic Reaction"/>
    <s v="Epinephrine Injection"/>
    <n v="100"/>
    <n v="50"/>
    <s v="No"/>
    <s v="Recovered"/>
    <n v="5"/>
    <x v="4"/>
    <s v="Low"/>
    <s v="Yes"/>
  </r>
  <r>
    <n v="746"/>
    <n v="52"/>
    <s v="Female"/>
    <s v="Respiratory Infection"/>
    <s v="Antibiotics and Rest"/>
    <n v="800"/>
    <n v="51"/>
    <s v="No"/>
    <s v="Stable"/>
    <n v="4"/>
    <x v="0"/>
    <s v="Low"/>
    <s v="Yes"/>
  </r>
  <r>
    <n v="747"/>
    <n v="67"/>
    <s v="Male"/>
    <s v="Prostate Cancer"/>
    <s v="Radiation Therapy"/>
    <n v="20000"/>
    <n v="58"/>
    <s v="No"/>
    <s v="Recovered"/>
    <n v="3"/>
    <x v="1"/>
    <s v="High"/>
    <s v="No"/>
  </r>
  <r>
    <n v="748"/>
    <n v="35"/>
    <s v="Female"/>
    <s v="Childbirth"/>
    <s v="Delivery and Postnatal Care"/>
    <n v="12000"/>
    <n v="52"/>
    <s v="No"/>
    <s v="Recovered"/>
    <n v="4"/>
    <x v="2"/>
    <s v="High"/>
    <s v="Yes"/>
  </r>
  <r>
    <n v="749"/>
    <n v="50"/>
    <s v="Male"/>
    <s v="Kidney Stones"/>
    <s v="Lithotripsy"/>
    <n v="6000"/>
    <n v="53"/>
    <s v="No"/>
    <s v="Recovered"/>
    <n v="3"/>
    <x v="0"/>
    <s v="Medium"/>
    <s v="No"/>
  </r>
  <r>
    <n v="750"/>
    <n v="60"/>
    <s v="Female"/>
    <s v="Osteoarthritis"/>
    <s v="Physical Therapy and Pain Management"/>
    <n v="4000"/>
    <n v="54"/>
    <s v="No"/>
    <s v="Stable"/>
    <n v="4"/>
    <x v="1"/>
    <s v="Medium"/>
    <s v="Yes"/>
  </r>
  <r>
    <n v="751"/>
    <n v="48"/>
    <s v="Female"/>
    <s v="Heart Disease"/>
    <s v="Angioplasty"/>
    <n v="15000"/>
    <n v="55"/>
    <s v="Yes"/>
    <s v="Recovered"/>
    <n v="4"/>
    <x v="0"/>
    <s v="High"/>
    <s v="Yes"/>
  </r>
  <r>
    <n v="752"/>
    <n v="65"/>
    <s v="Male"/>
    <s v="Diabetes"/>
    <s v="Insulin Therapy"/>
    <n v="2000"/>
    <n v="53"/>
    <s v="No"/>
    <s v="Stable"/>
    <n v="3"/>
    <x v="1"/>
    <s v="Medium"/>
    <s v="No"/>
  </r>
  <r>
    <n v="753"/>
    <n v="30"/>
    <s v="Female"/>
    <s v="Fractured Arm"/>
    <s v="X-Ray and Splint"/>
    <n v="500"/>
    <n v="51"/>
    <s v="No"/>
    <s v="Recovered"/>
    <n v="5"/>
    <x v="2"/>
    <s v="Low"/>
    <s v="Yes"/>
  </r>
  <r>
    <n v="754"/>
    <n v="70"/>
    <s v="Male"/>
    <s v="Stroke"/>
    <s v="CT Scan and Medication"/>
    <n v="10000"/>
    <n v="58"/>
    <s v="Yes"/>
    <s v="Stable"/>
    <n v="2"/>
    <x v="1"/>
    <s v="High"/>
    <s v="No"/>
  </r>
  <r>
    <n v="755"/>
    <n v="55"/>
    <s v="Female"/>
    <s v="Cancer"/>
    <s v="Surgery and Chemotherapy"/>
    <n v="25000"/>
    <n v="60"/>
    <s v="No"/>
    <s v="Recovered"/>
    <n v="4"/>
    <x v="0"/>
    <s v="High"/>
    <s v="Yes"/>
  </r>
  <r>
    <n v="756"/>
    <n v="68"/>
    <s v="Male"/>
    <s v="Hypertension"/>
    <s v="Medication and Counseling"/>
    <n v="1000"/>
    <n v="54"/>
    <s v="No"/>
    <s v="Stable"/>
    <n v="4"/>
    <x v="1"/>
    <s v="Low"/>
    <s v="Yes"/>
  </r>
  <r>
    <n v="757"/>
    <n v="45"/>
    <s v="Female"/>
    <s v="Appendicitis"/>
    <s v="Appendectomy"/>
    <n v="8000"/>
    <n v="56"/>
    <s v="No"/>
    <s v="Recovered"/>
    <n v="3"/>
    <x v="0"/>
    <s v="Medium"/>
    <s v="No"/>
  </r>
  <r>
    <n v="758"/>
    <n v="40"/>
    <s v="Male"/>
    <s v="Fractured Leg"/>
    <s v="Cast and Physical Therapy"/>
    <n v="3000"/>
    <n v="56"/>
    <s v="No"/>
    <s v="Recovered"/>
    <n v="4"/>
    <x v="2"/>
    <s v="Medium"/>
    <s v="Yes"/>
  </r>
  <r>
    <n v="759"/>
    <n v="78"/>
    <s v="Female"/>
    <s v="Heart Attack"/>
    <s v="Cardiac Catheterization"/>
    <n v="18000"/>
    <n v="58"/>
    <s v="Yes"/>
    <s v="Stable"/>
    <n v="2"/>
    <x v="3"/>
    <s v="High"/>
    <s v="No"/>
  </r>
  <r>
    <n v="760"/>
    <n v="25"/>
    <s v="Male"/>
    <s v="Allergic Reaction"/>
    <s v="Epinephrine Injection"/>
    <n v="100"/>
    <n v="51"/>
    <s v="No"/>
    <s v="Recovered"/>
    <n v="5"/>
    <x v="4"/>
    <s v="Low"/>
    <s v="Yes"/>
  </r>
  <r>
    <n v="761"/>
    <n v="52"/>
    <s v="Female"/>
    <s v="Respiratory Infection"/>
    <s v="Antibiotics and Rest"/>
    <n v="800"/>
    <n v="52"/>
    <s v="No"/>
    <s v="Stable"/>
    <n v="4"/>
    <x v="0"/>
    <s v="Low"/>
    <s v="Yes"/>
  </r>
  <r>
    <n v="762"/>
    <n v="58"/>
    <s v="Male"/>
    <s v="Prostate Cancer"/>
    <s v="Radiation Therapy"/>
    <n v="20000"/>
    <n v="59"/>
    <s v="No"/>
    <s v="Recovered"/>
    <n v="3"/>
    <x v="0"/>
    <s v="High"/>
    <s v="No"/>
  </r>
  <r>
    <n v="763"/>
    <n v="32"/>
    <s v="Female"/>
    <s v="Childbirth"/>
    <s v="Delivery and Postnatal Care"/>
    <n v="12000"/>
    <n v="53"/>
    <s v="No"/>
    <s v="Recovered"/>
    <n v="4"/>
    <x v="2"/>
    <s v="High"/>
    <s v="Yes"/>
  </r>
  <r>
    <n v="764"/>
    <n v="55"/>
    <s v="Male"/>
    <s v="Kidney Stones"/>
    <s v="Lithotripsy"/>
    <n v="6000"/>
    <n v="54"/>
    <s v="No"/>
    <s v="Recovered"/>
    <n v="3"/>
    <x v="0"/>
    <s v="Medium"/>
    <s v="No"/>
  </r>
  <r>
    <n v="765"/>
    <n v="65"/>
    <s v="Female"/>
    <s v="Osteoarthritis"/>
    <s v="Physical Therapy and Pain Management"/>
    <n v="4000"/>
    <n v="55"/>
    <s v="No"/>
    <s v="Stable"/>
    <n v="4"/>
    <x v="1"/>
    <s v="Medium"/>
    <s v="Yes"/>
  </r>
  <r>
    <n v="766"/>
    <n v="55"/>
    <s v="Female"/>
    <s v="Heart Disease"/>
    <s v="Angioplasty"/>
    <n v="15000"/>
    <n v="56"/>
    <s v="Yes"/>
    <s v="Recovered"/>
    <n v="3"/>
    <x v="0"/>
    <s v="High"/>
    <s v="No"/>
  </r>
  <r>
    <n v="767"/>
    <n v="62"/>
    <s v="Male"/>
    <s v="Diabetes"/>
    <s v="Insulin Therapy"/>
    <n v="2000"/>
    <n v="54"/>
    <s v="No"/>
    <s v="Stable"/>
    <n v="4"/>
    <x v="1"/>
    <s v="Medium"/>
    <s v="Yes"/>
  </r>
  <r>
    <n v="768"/>
    <n v="35"/>
    <s v="Female"/>
    <s v="Fractured Arm"/>
    <s v="X-Ray and Splint"/>
    <n v="500"/>
    <n v="52"/>
    <s v="Yes"/>
    <s v="Recovered"/>
    <n v="5"/>
    <x v="2"/>
    <s v="Low"/>
    <s v="Yes"/>
  </r>
  <r>
    <n v="769"/>
    <n v="78"/>
    <s v="Male"/>
    <s v="Stroke"/>
    <s v="CT Scan and Medication"/>
    <n v="10000"/>
    <n v="59"/>
    <s v="No"/>
    <s v="Stable"/>
    <n v="2"/>
    <x v="3"/>
    <s v="High"/>
    <s v="No"/>
  </r>
  <r>
    <n v="770"/>
    <n v="53"/>
    <s v="Female"/>
    <s v="Cancer"/>
    <s v="Surgery and Chemotherapy"/>
    <n v="25000"/>
    <n v="61"/>
    <s v="Yes"/>
    <s v="Recovered"/>
    <n v="4"/>
    <x v="0"/>
    <s v="High"/>
    <s v="Yes"/>
  </r>
  <r>
    <n v="771"/>
    <n v="72"/>
    <s v="Male"/>
    <s v="Hypertension"/>
    <s v="Medication and Counseling"/>
    <n v="1000"/>
    <n v="55"/>
    <s v="No"/>
    <s v="Stable"/>
    <n v="4"/>
    <x v="1"/>
    <s v="Low"/>
    <s v="Yes"/>
  </r>
  <r>
    <n v="772"/>
    <n v="60"/>
    <s v="Female"/>
    <s v="Appendicitis"/>
    <s v="Appendectomy"/>
    <n v="8000"/>
    <n v="57"/>
    <s v="Yes"/>
    <s v="Recovered"/>
    <n v="3"/>
    <x v="1"/>
    <s v="Medium"/>
    <s v="No"/>
  </r>
  <r>
    <n v="773"/>
    <n v="45"/>
    <s v="Male"/>
    <s v="Fractured Leg"/>
    <s v="Cast and Physical Therapy"/>
    <n v="3000"/>
    <n v="57"/>
    <s v="No"/>
    <s v="Recovered"/>
    <n v="4"/>
    <x v="0"/>
    <s v="Medium"/>
    <s v="Yes"/>
  </r>
  <r>
    <n v="774"/>
    <n v="75"/>
    <s v="Female"/>
    <s v="Heart Attack"/>
    <s v="Cardiac Catheterization"/>
    <n v="18000"/>
    <n v="59"/>
    <s v="Yes"/>
    <s v="Stable"/>
    <n v="2"/>
    <x v="3"/>
    <s v="High"/>
    <s v="No"/>
  </r>
  <r>
    <n v="775"/>
    <n v="28"/>
    <s v="Male"/>
    <s v="Allergic Reaction"/>
    <s v="Epinephrine Injection"/>
    <n v="100"/>
    <n v="52"/>
    <s v="No"/>
    <s v="Recovered"/>
    <n v="5"/>
    <x v="4"/>
    <s v="Low"/>
    <s v="Yes"/>
  </r>
  <r>
    <n v="776"/>
    <n v="52"/>
    <s v="Female"/>
    <s v="Respiratory Infection"/>
    <s v="Antibiotics and Rest"/>
    <n v="800"/>
    <n v="53"/>
    <s v="No"/>
    <s v="Stable"/>
    <n v="4"/>
    <x v="0"/>
    <s v="Low"/>
    <s v="Yes"/>
  </r>
  <r>
    <n v="777"/>
    <n v="67"/>
    <s v="Male"/>
    <s v="Prostate Cancer"/>
    <s v="Radiation Therapy"/>
    <n v="20000"/>
    <n v="60"/>
    <s v="No"/>
    <s v="Recovered"/>
    <n v="3"/>
    <x v="1"/>
    <s v="High"/>
    <s v="No"/>
  </r>
  <r>
    <n v="778"/>
    <n v="35"/>
    <s v="Female"/>
    <s v="Childbirth"/>
    <s v="Delivery and Postnatal Care"/>
    <n v="12000"/>
    <n v="54"/>
    <s v="No"/>
    <s v="Recovered"/>
    <n v="4"/>
    <x v="2"/>
    <s v="High"/>
    <s v="Yes"/>
  </r>
  <r>
    <n v="779"/>
    <n v="50"/>
    <s v="Male"/>
    <s v="Kidney Stones"/>
    <s v="Lithotripsy"/>
    <n v="6000"/>
    <n v="55"/>
    <s v="No"/>
    <s v="Recovered"/>
    <n v="3"/>
    <x v="0"/>
    <s v="Medium"/>
    <s v="No"/>
  </r>
  <r>
    <n v="780"/>
    <n v="60"/>
    <s v="Female"/>
    <s v="Osteoarthritis"/>
    <s v="Physical Therapy and Pain Management"/>
    <n v="4000"/>
    <n v="56"/>
    <s v="No"/>
    <s v="Stable"/>
    <n v="4"/>
    <x v="1"/>
    <s v="Medium"/>
    <s v="Yes"/>
  </r>
  <r>
    <n v="781"/>
    <n v="48"/>
    <s v="Female"/>
    <s v="Heart Disease"/>
    <s v="Angioplasty"/>
    <n v="15000"/>
    <n v="57"/>
    <s v="Yes"/>
    <s v="Recovered"/>
    <n v="4"/>
    <x v="0"/>
    <s v="High"/>
    <s v="Yes"/>
  </r>
  <r>
    <n v="782"/>
    <n v="65"/>
    <s v="Male"/>
    <s v="Diabetes"/>
    <s v="Insulin Therapy"/>
    <n v="2000"/>
    <n v="55"/>
    <s v="No"/>
    <s v="Stable"/>
    <n v="3"/>
    <x v="1"/>
    <s v="Medium"/>
    <s v="No"/>
  </r>
  <r>
    <n v="783"/>
    <n v="30"/>
    <s v="Female"/>
    <s v="Fractured Arm"/>
    <s v="X-Ray and Splint"/>
    <n v="500"/>
    <n v="53"/>
    <s v="No"/>
    <s v="Recovered"/>
    <n v="5"/>
    <x v="2"/>
    <s v="Low"/>
    <s v="Yes"/>
  </r>
  <r>
    <n v="785"/>
    <n v="55"/>
    <s v="Female"/>
    <s v="Cancer"/>
    <s v="Surgery and Chemotherapy"/>
    <n v="25000"/>
    <n v="62"/>
    <s v="No"/>
    <s v="Recovered"/>
    <n v="4"/>
    <x v="0"/>
    <s v="High"/>
    <s v="Yes"/>
  </r>
  <r>
    <n v="786"/>
    <n v="68"/>
    <s v="Male"/>
    <s v="Hypertension"/>
    <s v="Medication and Counseling"/>
    <n v="1000"/>
    <n v="56"/>
    <s v="No"/>
    <s v="Stable"/>
    <n v="4"/>
    <x v="1"/>
    <s v="Low"/>
    <s v="Yes"/>
  </r>
  <r>
    <n v="787"/>
    <n v="45"/>
    <s v="Female"/>
    <s v="Appendicitis"/>
    <s v="Appendectomy"/>
    <n v="8000"/>
    <n v="58"/>
    <s v="No"/>
    <s v="Recovered"/>
    <n v="3"/>
    <x v="0"/>
    <s v="Medium"/>
    <s v="No"/>
  </r>
  <r>
    <n v="788"/>
    <n v="40"/>
    <s v="Male"/>
    <s v="Fractured Leg"/>
    <s v="Cast and Physical Therapy"/>
    <n v="3000"/>
    <n v="58"/>
    <s v="No"/>
    <s v="Recovered"/>
    <n v="4"/>
    <x v="2"/>
    <s v="Medium"/>
    <s v="Yes"/>
  </r>
  <r>
    <n v="789"/>
    <n v="78"/>
    <s v="Female"/>
    <s v="Heart Attack"/>
    <s v="Cardiac Catheterization"/>
    <n v="18000"/>
    <n v="60"/>
    <s v="Yes"/>
    <s v="Stable"/>
    <n v="2"/>
    <x v="3"/>
    <s v="High"/>
    <s v="No"/>
  </r>
  <r>
    <n v="790"/>
    <n v="25"/>
    <s v="Male"/>
    <s v="Allergic Reaction"/>
    <s v="Epinephrine Injection"/>
    <n v="100"/>
    <n v="53"/>
    <s v="No"/>
    <s v="Recovered"/>
    <n v="5"/>
    <x v="4"/>
    <s v="Low"/>
    <s v="Yes"/>
  </r>
  <r>
    <n v="791"/>
    <n v="52"/>
    <s v="Female"/>
    <s v="Respiratory Infection"/>
    <s v="Antibiotics and Rest"/>
    <n v="800"/>
    <n v="54"/>
    <s v="No"/>
    <s v="Stable"/>
    <n v="4"/>
    <x v="0"/>
    <s v="Low"/>
    <s v="Yes"/>
  </r>
  <r>
    <n v="792"/>
    <n v="58"/>
    <s v="Male"/>
    <s v="Prostate Cancer"/>
    <s v="Radiation Therapy"/>
    <n v="20000"/>
    <n v="61"/>
    <s v="No"/>
    <s v="Recovered"/>
    <n v="3"/>
    <x v="0"/>
    <s v="High"/>
    <s v="No"/>
  </r>
  <r>
    <n v="793"/>
    <n v="32"/>
    <s v="Female"/>
    <s v="Childbirth"/>
    <s v="Delivery and Postnatal Care"/>
    <n v="12000"/>
    <n v="55"/>
    <s v="No"/>
    <s v="Recovered"/>
    <n v="4"/>
    <x v="2"/>
    <s v="High"/>
    <s v="Yes"/>
  </r>
  <r>
    <n v="794"/>
    <n v="55"/>
    <s v="Male"/>
    <s v="Kidney Stones"/>
    <s v="Lithotripsy"/>
    <n v="6000"/>
    <n v="56"/>
    <s v="No"/>
    <s v="Recovered"/>
    <n v="3"/>
    <x v="0"/>
    <s v="Medium"/>
    <s v="No"/>
  </r>
  <r>
    <n v="795"/>
    <n v="65"/>
    <s v="Female"/>
    <s v="Osteoarthritis"/>
    <s v="Physical Therapy and Pain Management"/>
    <n v="4000"/>
    <n v="57"/>
    <s v="No"/>
    <s v="Stable"/>
    <n v="4"/>
    <x v="1"/>
    <s v="Medium"/>
    <s v="Yes"/>
  </r>
  <r>
    <n v="796"/>
    <n v="55"/>
    <s v="Female"/>
    <s v="Heart Disease"/>
    <s v="Angioplasty"/>
    <n v="15000"/>
    <n v="58"/>
    <s v="Yes"/>
    <s v="Recovered"/>
    <n v="3"/>
    <x v="0"/>
    <s v="High"/>
    <s v="No"/>
  </r>
  <r>
    <n v="797"/>
    <n v="62"/>
    <s v="Male"/>
    <s v="Diabetes"/>
    <s v="Insulin Therapy"/>
    <n v="2000"/>
    <n v="56"/>
    <s v="No"/>
    <s v="Stable"/>
    <n v="4"/>
    <x v="1"/>
    <s v="Medium"/>
    <s v="Yes"/>
  </r>
  <r>
    <n v="798"/>
    <n v="35"/>
    <s v="Female"/>
    <s v="Fractured Arm"/>
    <s v="X-Ray and Splint"/>
    <n v="500"/>
    <n v="54"/>
    <s v="Yes"/>
    <s v="Recovered"/>
    <n v="5"/>
    <x v="2"/>
    <s v="Low"/>
    <s v="Yes"/>
  </r>
  <r>
    <n v="799"/>
    <n v="78"/>
    <s v="Male"/>
    <s v="Stroke"/>
    <s v="CT Scan and Medication"/>
    <n v="10000"/>
    <n v="61"/>
    <s v="No"/>
    <s v="Stable"/>
    <n v="2"/>
    <x v="3"/>
    <s v="High"/>
    <s v="No"/>
  </r>
  <r>
    <n v="800"/>
    <n v="53"/>
    <s v="Female"/>
    <s v="Cancer"/>
    <s v="Surgery and Chemotherapy"/>
    <n v="25000"/>
    <n v="63"/>
    <s v="Yes"/>
    <s v="Recovered"/>
    <n v="4"/>
    <x v="0"/>
    <s v="High"/>
    <s v="Yes"/>
  </r>
  <r>
    <n v="801"/>
    <n v="72"/>
    <s v="Male"/>
    <s v="Hypertension"/>
    <s v="Medication and Counseling"/>
    <n v="1000"/>
    <n v="57"/>
    <s v="No"/>
    <s v="Stable"/>
    <n v="4"/>
    <x v="1"/>
    <s v="Low"/>
    <s v="Yes"/>
  </r>
  <r>
    <n v="802"/>
    <n v="60"/>
    <s v="Female"/>
    <s v="Appendicitis"/>
    <s v="Appendectomy"/>
    <n v="8000"/>
    <n v="59"/>
    <s v="Yes"/>
    <s v="Recovered"/>
    <n v="3"/>
    <x v="1"/>
    <s v="Medium"/>
    <s v="No"/>
  </r>
  <r>
    <n v="803"/>
    <n v="45"/>
    <s v="Male"/>
    <s v="Fractured Leg"/>
    <s v="Cast and Physical Therapy"/>
    <n v="3000"/>
    <n v="59"/>
    <s v="No"/>
    <s v="Recovered"/>
    <n v="4"/>
    <x v="0"/>
    <s v="Medium"/>
    <s v="Yes"/>
  </r>
  <r>
    <n v="804"/>
    <n v="75"/>
    <s v="Female"/>
    <s v="Heart Attack"/>
    <s v="Cardiac Catheterization"/>
    <n v="18000"/>
    <n v="61"/>
    <s v="Yes"/>
    <s v="Stable"/>
    <n v="2"/>
    <x v="3"/>
    <s v="High"/>
    <s v="No"/>
  </r>
  <r>
    <n v="805"/>
    <n v="28"/>
    <s v="Male"/>
    <s v="Allergic Reaction"/>
    <s v="Epinephrine Injection"/>
    <n v="100"/>
    <n v="54"/>
    <s v="No"/>
    <s v="Recovered"/>
    <n v="5"/>
    <x v="4"/>
    <s v="Low"/>
    <s v="Yes"/>
  </r>
  <r>
    <n v="806"/>
    <n v="52"/>
    <s v="Female"/>
    <s v="Respiratory Infection"/>
    <s v="Antibiotics and Rest"/>
    <n v="800"/>
    <n v="55"/>
    <s v="No"/>
    <s v="Stable"/>
    <n v="4"/>
    <x v="0"/>
    <s v="Low"/>
    <s v="Yes"/>
  </r>
  <r>
    <n v="807"/>
    <n v="67"/>
    <s v="Male"/>
    <s v="Prostate Cancer"/>
    <s v="Radiation Therapy"/>
    <n v="20000"/>
    <n v="62"/>
    <s v="No"/>
    <s v="Recovered"/>
    <n v="3"/>
    <x v="1"/>
    <s v="High"/>
    <s v="No"/>
  </r>
  <r>
    <n v="808"/>
    <n v="35"/>
    <s v="Female"/>
    <s v="Childbirth"/>
    <s v="Delivery and Postnatal Care"/>
    <n v="12000"/>
    <n v="56"/>
    <s v="No"/>
    <s v="Recovered"/>
    <n v="4"/>
    <x v="2"/>
    <s v="High"/>
    <s v="Yes"/>
  </r>
  <r>
    <n v="809"/>
    <n v="50"/>
    <s v="Male"/>
    <s v="Kidney Stones"/>
    <s v="Lithotripsy"/>
    <n v="6000"/>
    <n v="57"/>
    <s v="No"/>
    <s v="Recovered"/>
    <n v="3"/>
    <x v="0"/>
    <s v="Medium"/>
    <s v="No"/>
  </r>
  <r>
    <n v="810"/>
    <n v="60"/>
    <s v="Female"/>
    <s v="Osteoarthritis"/>
    <s v="Physical Therapy and Pain Management"/>
    <n v="4000"/>
    <n v="58"/>
    <s v="No"/>
    <s v="Stable"/>
    <n v="4"/>
    <x v="1"/>
    <s v="Medium"/>
    <s v="Yes"/>
  </r>
  <r>
    <n v="811"/>
    <n v="48"/>
    <s v="Female"/>
    <s v="Heart Disease"/>
    <s v="Angioplasty"/>
    <n v="15000"/>
    <n v="59"/>
    <s v="Yes"/>
    <s v="Recovered"/>
    <n v="4"/>
    <x v="0"/>
    <s v="High"/>
    <s v="Yes"/>
  </r>
  <r>
    <n v="812"/>
    <n v="65"/>
    <s v="Male"/>
    <s v="Diabetes"/>
    <s v="Insulin Therapy"/>
    <n v="2000"/>
    <n v="57"/>
    <s v="No"/>
    <s v="Stable"/>
    <n v="3"/>
    <x v="1"/>
    <s v="Medium"/>
    <s v="No"/>
  </r>
  <r>
    <n v="813"/>
    <n v="30"/>
    <s v="Female"/>
    <s v="Fractured Arm"/>
    <s v="X-Ray and Splint"/>
    <n v="500"/>
    <n v="55"/>
    <s v="No"/>
    <s v="Recovered"/>
    <n v="5"/>
    <x v="2"/>
    <s v="Low"/>
    <s v="Yes"/>
  </r>
  <r>
    <n v="814"/>
    <n v="70"/>
    <s v="Male"/>
    <s v="Stroke"/>
    <s v="CT Scan and Medication"/>
    <n v="10000"/>
    <n v="62"/>
    <s v="Yes"/>
    <s v="Stable"/>
    <n v="2"/>
    <x v="1"/>
    <s v="High"/>
    <s v="No"/>
  </r>
  <r>
    <n v="815"/>
    <n v="55"/>
    <s v="Female"/>
    <s v="Cancer"/>
    <s v="Surgery and Chemotherapy"/>
    <n v="25000"/>
    <n v="64"/>
    <s v="No"/>
    <s v="Recovered"/>
    <n v="4"/>
    <x v="0"/>
    <s v="High"/>
    <s v="Yes"/>
  </r>
  <r>
    <n v="816"/>
    <n v="68"/>
    <s v="Male"/>
    <s v="Hypertension"/>
    <s v="Medication and Counseling"/>
    <n v="1000"/>
    <n v="58"/>
    <s v="No"/>
    <s v="Stable"/>
    <n v="4"/>
    <x v="1"/>
    <s v="Low"/>
    <s v="Yes"/>
  </r>
  <r>
    <n v="817"/>
    <n v="45"/>
    <s v="Female"/>
    <s v="Appendicitis"/>
    <s v="Appendectomy"/>
    <n v="8000"/>
    <n v="60"/>
    <s v="No"/>
    <s v="Recovered"/>
    <n v="3"/>
    <x v="0"/>
    <s v="Medium"/>
    <s v="No"/>
  </r>
  <r>
    <n v="818"/>
    <n v="40"/>
    <s v="Male"/>
    <s v="Fractured Leg"/>
    <s v="Cast and Physical Therapy"/>
    <n v="3000"/>
    <n v="60"/>
    <s v="No"/>
    <s v="Recovered"/>
    <n v="4"/>
    <x v="2"/>
    <s v="Medium"/>
    <s v="Yes"/>
  </r>
  <r>
    <n v="819"/>
    <n v="78"/>
    <s v="Female"/>
    <s v="Heart Attack"/>
    <s v="Cardiac Catheterization"/>
    <n v="18000"/>
    <n v="62"/>
    <s v="Yes"/>
    <s v="Stable"/>
    <n v="2"/>
    <x v="3"/>
    <s v="High"/>
    <s v="No"/>
  </r>
  <r>
    <n v="820"/>
    <n v="25"/>
    <s v="Male"/>
    <s v="Allergic Reaction"/>
    <s v="Epinephrine Injection"/>
    <n v="100"/>
    <n v="55"/>
    <s v="No"/>
    <s v="Recovered"/>
    <n v="5"/>
    <x v="4"/>
    <s v="Low"/>
    <s v="Yes"/>
  </r>
  <r>
    <n v="821"/>
    <n v="52"/>
    <s v="Female"/>
    <s v="Respiratory Infection"/>
    <s v="Antibiotics and Rest"/>
    <n v="800"/>
    <n v="56"/>
    <s v="No"/>
    <s v="Stable"/>
    <n v="4"/>
    <x v="0"/>
    <s v="Low"/>
    <s v="Yes"/>
  </r>
  <r>
    <n v="822"/>
    <n v="58"/>
    <s v="Male"/>
    <s v="Prostate Cancer"/>
    <s v="Radiation Therapy"/>
    <n v="20000"/>
    <n v="63"/>
    <s v="No"/>
    <s v="Recovered"/>
    <n v="3"/>
    <x v="0"/>
    <s v="High"/>
    <s v="No"/>
  </r>
  <r>
    <n v="823"/>
    <n v="32"/>
    <s v="Female"/>
    <s v="Childbirth"/>
    <s v="Delivery and Postnatal Care"/>
    <n v="12000"/>
    <n v="57"/>
    <s v="No"/>
    <s v="Recovered"/>
    <n v="4"/>
    <x v="2"/>
    <s v="High"/>
    <s v="Yes"/>
  </r>
  <r>
    <n v="824"/>
    <n v="55"/>
    <s v="Male"/>
    <s v="Kidney Stones"/>
    <s v="Lithotripsy"/>
    <n v="6000"/>
    <n v="58"/>
    <s v="No"/>
    <s v="Recovered"/>
    <n v="3"/>
    <x v="0"/>
    <s v="Medium"/>
    <s v="No"/>
  </r>
  <r>
    <n v="825"/>
    <n v="65"/>
    <s v="Female"/>
    <s v="Osteoarthritis"/>
    <s v="Physical Therapy and Pain Management"/>
    <n v="4000"/>
    <n v="59"/>
    <s v="No"/>
    <s v="Stable"/>
    <n v="4"/>
    <x v="1"/>
    <s v="Medium"/>
    <s v="Yes"/>
  </r>
  <r>
    <n v="826"/>
    <n v="55"/>
    <s v="Female"/>
    <s v="Heart Disease"/>
    <s v="Angioplasty"/>
    <n v="15000"/>
    <n v="60"/>
    <s v="Yes"/>
    <s v="Recovered"/>
    <n v="3"/>
    <x v="0"/>
    <s v="High"/>
    <s v="No"/>
  </r>
  <r>
    <n v="827"/>
    <n v="62"/>
    <s v="Male"/>
    <s v="Diabetes"/>
    <s v="Insulin Therapy"/>
    <n v="2000"/>
    <n v="58"/>
    <s v="No"/>
    <s v="Stable"/>
    <n v="4"/>
    <x v="1"/>
    <s v="Medium"/>
    <s v="Yes"/>
  </r>
  <r>
    <n v="828"/>
    <n v="35"/>
    <s v="Female"/>
    <s v="Fractured Arm"/>
    <s v="X-Ray and Splint"/>
    <n v="500"/>
    <n v="56"/>
    <s v="Yes"/>
    <s v="Recovered"/>
    <n v="5"/>
    <x v="2"/>
    <s v="Low"/>
    <s v="Yes"/>
  </r>
  <r>
    <n v="829"/>
    <n v="78"/>
    <s v="Male"/>
    <s v="Stroke"/>
    <s v="CT Scan and Medication"/>
    <n v="10000"/>
    <n v="63"/>
    <s v="No"/>
    <s v="Stable"/>
    <n v="2"/>
    <x v="3"/>
    <s v="High"/>
    <s v="No"/>
  </r>
  <r>
    <n v="830"/>
    <n v="53"/>
    <s v="Female"/>
    <s v="Cancer"/>
    <s v="Surgery and Chemotherapy"/>
    <n v="25000"/>
    <n v="65"/>
    <s v="Yes"/>
    <s v="Recovered"/>
    <n v="4"/>
    <x v="0"/>
    <s v="High"/>
    <s v="Yes"/>
  </r>
  <r>
    <n v="831"/>
    <n v="72"/>
    <s v="Male"/>
    <s v="Hypertension"/>
    <s v="Medication and Counseling"/>
    <n v="1000"/>
    <n v="59"/>
    <s v="No"/>
    <s v="Stable"/>
    <n v="4"/>
    <x v="1"/>
    <s v="Low"/>
    <s v="Yes"/>
  </r>
  <r>
    <n v="832"/>
    <n v="60"/>
    <s v="Female"/>
    <s v="Appendicitis"/>
    <s v="Appendectomy"/>
    <n v="8000"/>
    <n v="61"/>
    <s v="Yes"/>
    <s v="Recovered"/>
    <n v="3"/>
    <x v="1"/>
    <s v="Medium"/>
    <s v="No"/>
  </r>
  <r>
    <n v="833"/>
    <n v="45"/>
    <s v="Male"/>
    <s v="Fractured Leg"/>
    <s v="Cast and Physical Therapy"/>
    <n v="3000"/>
    <n v="61"/>
    <s v="No"/>
    <s v="Recovered"/>
    <n v="4"/>
    <x v="0"/>
    <s v="Medium"/>
    <s v="Yes"/>
  </r>
  <r>
    <n v="834"/>
    <n v="75"/>
    <s v="Female"/>
    <s v="Heart Attack"/>
    <s v="Cardiac Catheterization"/>
    <n v="18000"/>
    <n v="63"/>
    <s v="Yes"/>
    <s v="Stable"/>
    <n v="2"/>
    <x v="3"/>
    <s v="High"/>
    <s v="No"/>
  </r>
  <r>
    <n v="835"/>
    <n v="28"/>
    <s v="Male"/>
    <s v="Allergic Reaction"/>
    <s v="Epinephrine Injection"/>
    <n v="100"/>
    <n v="56"/>
    <s v="No"/>
    <s v="Recovered"/>
    <n v="5"/>
    <x v="4"/>
    <s v="Low"/>
    <s v="Yes"/>
  </r>
  <r>
    <n v="836"/>
    <n v="52"/>
    <s v="Female"/>
    <s v="Respiratory Infection"/>
    <s v="Antibiotics and Rest"/>
    <n v="800"/>
    <n v="57"/>
    <s v="No"/>
    <s v="Stable"/>
    <n v="4"/>
    <x v="0"/>
    <s v="Low"/>
    <s v="Yes"/>
  </r>
  <r>
    <n v="837"/>
    <n v="67"/>
    <s v="Male"/>
    <s v="Prostate Cancer"/>
    <s v="Radiation Therapy"/>
    <n v="20000"/>
    <n v="64"/>
    <s v="No"/>
    <s v="Recovered"/>
    <n v="3"/>
    <x v="1"/>
    <s v="High"/>
    <s v="No"/>
  </r>
  <r>
    <n v="838"/>
    <n v="35"/>
    <s v="Female"/>
    <s v="Childbirth"/>
    <s v="Delivery and Postnatal Care"/>
    <n v="12000"/>
    <n v="58"/>
    <s v="No"/>
    <s v="Recovered"/>
    <n v="4"/>
    <x v="2"/>
    <s v="High"/>
    <s v="Yes"/>
  </r>
  <r>
    <n v="839"/>
    <n v="50"/>
    <s v="Male"/>
    <s v="Kidney Stones"/>
    <s v="Lithotripsy"/>
    <n v="6000"/>
    <n v="59"/>
    <s v="No"/>
    <s v="Recovered"/>
    <n v="3"/>
    <x v="0"/>
    <s v="Medium"/>
    <s v="No"/>
  </r>
  <r>
    <n v="840"/>
    <n v="60"/>
    <s v="Female"/>
    <s v="Osteoarthritis"/>
    <s v="Physical Therapy and Pain Management"/>
    <n v="4000"/>
    <n v="60"/>
    <s v="No"/>
    <s v="Stable"/>
    <n v="4"/>
    <x v="1"/>
    <s v="Medium"/>
    <s v="Yes"/>
  </r>
  <r>
    <n v="841"/>
    <n v="48"/>
    <s v="Female"/>
    <s v="Heart Disease"/>
    <s v="Angioplasty"/>
    <n v="15000"/>
    <n v="61"/>
    <s v="Yes"/>
    <s v="Recovered"/>
    <n v="4"/>
    <x v="0"/>
    <s v="High"/>
    <s v="Yes"/>
  </r>
  <r>
    <n v="842"/>
    <n v="65"/>
    <s v="Male"/>
    <s v="Diabetes"/>
    <s v="Insulin Therapy"/>
    <n v="2000"/>
    <n v="59"/>
    <s v="No"/>
    <s v="Stable"/>
    <n v="3"/>
    <x v="1"/>
    <s v="Medium"/>
    <s v="No"/>
  </r>
  <r>
    <n v="843"/>
    <n v="30"/>
    <s v="Female"/>
    <s v="Fractured Arm"/>
    <s v="X-Ray and Splint"/>
    <n v="500"/>
    <n v="57"/>
    <s v="No"/>
    <s v="Recovered"/>
    <n v="5"/>
    <x v="2"/>
    <s v="Low"/>
    <s v="Yes"/>
  </r>
  <r>
    <n v="844"/>
    <n v="70"/>
    <s v="Male"/>
    <s v="Stroke"/>
    <s v="CT Scan and Medication"/>
    <n v="10000"/>
    <n v="64"/>
    <s v="Yes"/>
    <s v="Stable"/>
    <n v="2"/>
    <x v="1"/>
    <s v="High"/>
    <s v="No"/>
  </r>
  <r>
    <n v="846"/>
    <n v="68"/>
    <s v="Male"/>
    <s v="Hypertension"/>
    <s v="Medication and Counseling"/>
    <n v="1000"/>
    <n v="60"/>
    <s v="No"/>
    <s v="Stable"/>
    <n v="4"/>
    <x v="1"/>
    <s v="Low"/>
    <s v="Yes"/>
  </r>
  <r>
    <n v="847"/>
    <n v="45"/>
    <s v="Female"/>
    <s v="Appendicitis"/>
    <s v="Appendectomy"/>
    <n v="8000"/>
    <n v="62"/>
    <s v="No"/>
    <s v="Recovered"/>
    <n v="3"/>
    <x v="0"/>
    <s v="Medium"/>
    <s v="No"/>
  </r>
  <r>
    <n v="848"/>
    <n v="40"/>
    <s v="Male"/>
    <s v="Fractured Leg"/>
    <s v="Cast and Physical Therapy"/>
    <n v="3000"/>
    <n v="62"/>
    <s v="No"/>
    <s v="Recovered"/>
    <n v="4"/>
    <x v="2"/>
    <s v="Medium"/>
    <s v="Yes"/>
  </r>
  <r>
    <n v="849"/>
    <n v="78"/>
    <s v="Female"/>
    <s v="Heart Attack"/>
    <s v="Cardiac Catheterization"/>
    <n v="18000"/>
    <n v="64"/>
    <s v="Yes"/>
    <s v="Stable"/>
    <n v="2"/>
    <x v="3"/>
    <s v="High"/>
    <s v="No"/>
  </r>
  <r>
    <n v="850"/>
    <n v="25"/>
    <s v="Male"/>
    <s v="Allergic Reaction"/>
    <s v="Epinephrine Injection"/>
    <n v="100"/>
    <n v="57"/>
    <s v="No"/>
    <s v="Recovered"/>
    <n v="5"/>
    <x v="4"/>
    <s v="Low"/>
    <s v="Yes"/>
  </r>
  <r>
    <n v="851"/>
    <n v="52"/>
    <s v="Female"/>
    <s v="Respiratory Infection"/>
    <s v="Antibiotics and Rest"/>
    <n v="800"/>
    <n v="58"/>
    <s v="No"/>
    <s v="Stable"/>
    <n v="4"/>
    <x v="0"/>
    <s v="Low"/>
    <s v="Yes"/>
  </r>
  <r>
    <n v="852"/>
    <n v="58"/>
    <s v="Male"/>
    <s v="Prostate Cancer"/>
    <s v="Radiation Therapy"/>
    <n v="20000"/>
    <n v="65"/>
    <s v="No"/>
    <s v="Recovered"/>
    <n v="3"/>
    <x v="0"/>
    <s v="High"/>
    <s v="No"/>
  </r>
  <r>
    <n v="853"/>
    <n v="32"/>
    <s v="Female"/>
    <s v="Childbirth"/>
    <s v="Delivery and Postnatal Care"/>
    <n v="12000"/>
    <n v="59"/>
    <s v="No"/>
    <s v="Recovered"/>
    <n v="4"/>
    <x v="2"/>
    <s v="High"/>
    <s v="Yes"/>
  </r>
  <r>
    <n v="854"/>
    <n v="55"/>
    <s v="Male"/>
    <s v="Kidney Stones"/>
    <s v="Lithotripsy"/>
    <n v="6000"/>
    <n v="60"/>
    <s v="No"/>
    <s v="Recovered"/>
    <n v="3"/>
    <x v="0"/>
    <s v="Medium"/>
    <s v="No"/>
  </r>
  <r>
    <n v="855"/>
    <n v="65"/>
    <s v="Female"/>
    <s v="Osteoarthritis"/>
    <s v="Physical Therapy and Pain Management"/>
    <n v="4000"/>
    <n v="61"/>
    <s v="No"/>
    <s v="Stable"/>
    <n v="4"/>
    <x v="1"/>
    <s v="Medium"/>
    <s v="Yes"/>
  </r>
  <r>
    <n v="856"/>
    <n v="55"/>
    <s v="Female"/>
    <s v="Heart Disease"/>
    <s v="Angioplasty"/>
    <n v="15000"/>
    <n v="62"/>
    <s v="Yes"/>
    <s v="Recovered"/>
    <n v="3"/>
    <x v="0"/>
    <s v="High"/>
    <s v="No"/>
  </r>
  <r>
    <n v="857"/>
    <n v="62"/>
    <s v="Male"/>
    <s v="Diabetes"/>
    <s v="Insulin Therapy"/>
    <n v="2000"/>
    <n v="60"/>
    <s v="No"/>
    <s v="Stable"/>
    <n v="4"/>
    <x v="1"/>
    <s v="Medium"/>
    <s v="Yes"/>
  </r>
  <r>
    <n v="858"/>
    <n v="35"/>
    <s v="Female"/>
    <s v="Fractured Arm"/>
    <s v="X-Ray and Splint"/>
    <n v="500"/>
    <n v="58"/>
    <s v="Yes"/>
    <s v="Recovered"/>
    <n v="5"/>
    <x v="2"/>
    <s v="Low"/>
    <s v="Yes"/>
  </r>
  <r>
    <n v="859"/>
    <n v="78"/>
    <s v="Male"/>
    <s v="Stroke"/>
    <s v="CT Scan and Medication"/>
    <n v="10000"/>
    <n v="65"/>
    <s v="No"/>
    <s v="Stable"/>
    <n v="2"/>
    <x v="3"/>
    <s v="High"/>
    <s v="No"/>
  </r>
  <r>
    <n v="860"/>
    <n v="53"/>
    <s v="Female"/>
    <s v="Cancer"/>
    <s v="Surgery and Chemotherapy"/>
    <n v="25000"/>
    <n v="67"/>
    <s v="Yes"/>
    <s v="Recovered"/>
    <n v="4"/>
    <x v="0"/>
    <s v="High"/>
    <s v="Yes"/>
  </r>
  <r>
    <n v="861"/>
    <n v="72"/>
    <s v="Male"/>
    <s v="Hypertension"/>
    <s v="Medication and Counseling"/>
    <n v="1000"/>
    <n v="61"/>
    <s v="No"/>
    <s v="Stable"/>
    <n v="4"/>
    <x v="1"/>
    <s v="Low"/>
    <s v="Yes"/>
  </r>
  <r>
    <n v="862"/>
    <n v="60"/>
    <s v="Female"/>
    <s v="Appendicitis"/>
    <s v="Appendectomy"/>
    <n v="8000"/>
    <n v="63"/>
    <s v="Yes"/>
    <s v="Recovered"/>
    <n v="3"/>
    <x v="1"/>
    <s v="Medium"/>
    <s v="No"/>
  </r>
  <r>
    <n v="863"/>
    <n v="45"/>
    <s v="Male"/>
    <s v="Fractured Leg"/>
    <s v="Cast and Physical Therapy"/>
    <n v="3000"/>
    <n v="63"/>
    <s v="No"/>
    <s v="Recovered"/>
    <n v="4"/>
    <x v="0"/>
    <s v="Medium"/>
    <s v="Yes"/>
  </r>
  <r>
    <n v="864"/>
    <n v="75"/>
    <s v="Female"/>
    <s v="Heart Attack"/>
    <s v="Cardiac Catheterization"/>
    <n v="18000"/>
    <n v="65"/>
    <s v="Yes"/>
    <s v="Stable"/>
    <n v="2"/>
    <x v="3"/>
    <s v="High"/>
    <s v="No"/>
  </r>
  <r>
    <n v="865"/>
    <n v="28"/>
    <s v="Male"/>
    <s v="Allergic Reaction"/>
    <s v="Epinephrine Injection"/>
    <n v="100"/>
    <n v="58"/>
    <s v="No"/>
    <s v="Recovered"/>
    <n v="5"/>
    <x v="4"/>
    <s v="Low"/>
    <s v="Yes"/>
  </r>
  <r>
    <n v="866"/>
    <n v="52"/>
    <s v="Female"/>
    <s v="Respiratory Infection"/>
    <s v="Antibiotics and Rest"/>
    <n v="800"/>
    <n v="59"/>
    <s v="No"/>
    <s v="Stable"/>
    <n v="4"/>
    <x v="0"/>
    <s v="Low"/>
    <s v="Yes"/>
  </r>
  <r>
    <n v="867"/>
    <n v="67"/>
    <s v="Male"/>
    <s v="Prostate Cancer"/>
    <s v="Radiation Therapy"/>
    <n v="20000"/>
    <n v="66"/>
    <s v="No"/>
    <s v="Recovered"/>
    <n v="3"/>
    <x v="1"/>
    <s v="High"/>
    <s v="No"/>
  </r>
  <r>
    <n v="868"/>
    <n v="35"/>
    <s v="Female"/>
    <s v="Childbirth"/>
    <s v="Delivery and Postnatal Care"/>
    <n v="12000"/>
    <n v="60"/>
    <s v="No"/>
    <s v="Recovered"/>
    <n v="4"/>
    <x v="2"/>
    <s v="High"/>
    <s v="Yes"/>
  </r>
  <r>
    <n v="869"/>
    <n v="50"/>
    <s v="Male"/>
    <s v="Kidney Stones"/>
    <s v="Lithotripsy"/>
    <n v="6000"/>
    <n v="61"/>
    <s v="No"/>
    <s v="Recovered"/>
    <n v="3"/>
    <x v="0"/>
    <s v="Medium"/>
    <s v="No"/>
  </r>
  <r>
    <n v="870"/>
    <n v="60"/>
    <s v="Female"/>
    <s v="Osteoarthritis"/>
    <s v="Physical Therapy and Pain Management"/>
    <n v="4000"/>
    <n v="62"/>
    <s v="No"/>
    <s v="Stable"/>
    <n v="4"/>
    <x v="1"/>
    <s v="Medium"/>
    <s v="Yes"/>
  </r>
  <r>
    <n v="871"/>
    <n v="48"/>
    <s v="Female"/>
    <s v="Heart Disease"/>
    <s v="Angioplasty"/>
    <n v="15000"/>
    <n v="63"/>
    <s v="Yes"/>
    <s v="Recovered"/>
    <n v="4"/>
    <x v="0"/>
    <s v="High"/>
    <s v="Yes"/>
  </r>
  <r>
    <n v="872"/>
    <n v="65"/>
    <s v="Male"/>
    <s v="Diabetes"/>
    <s v="Insulin Therapy"/>
    <n v="2000"/>
    <n v="61"/>
    <s v="No"/>
    <s v="Stable"/>
    <n v="3"/>
    <x v="1"/>
    <s v="Medium"/>
    <s v="No"/>
  </r>
  <r>
    <n v="873"/>
    <n v="30"/>
    <s v="Female"/>
    <s v="Fractured Arm"/>
    <s v="X-Ray and Splint"/>
    <n v="500"/>
    <n v="59"/>
    <s v="No"/>
    <s v="Recovered"/>
    <n v="5"/>
    <x v="2"/>
    <s v="Low"/>
    <s v="Yes"/>
  </r>
  <r>
    <n v="874"/>
    <n v="70"/>
    <s v="Male"/>
    <s v="Stroke"/>
    <s v="CT Scan and Medication"/>
    <n v="10000"/>
    <n v="66"/>
    <s v="Yes"/>
    <s v="Stable"/>
    <n v="2"/>
    <x v="1"/>
    <s v="High"/>
    <s v="No"/>
  </r>
  <r>
    <n v="875"/>
    <n v="55"/>
    <s v="Female"/>
    <s v="Cancer"/>
    <s v="Surgery and Chemotherapy"/>
    <n v="25000"/>
    <n v="68"/>
    <s v="No"/>
    <s v="Recovered"/>
    <n v="4"/>
    <x v="0"/>
    <s v="High"/>
    <s v="Yes"/>
  </r>
  <r>
    <n v="876"/>
    <n v="68"/>
    <s v="Male"/>
    <s v="Hypertension"/>
    <s v="Medication and Counseling"/>
    <n v="1000"/>
    <n v="62"/>
    <s v="No"/>
    <s v="Stable"/>
    <n v="4"/>
    <x v="1"/>
    <s v="Low"/>
    <s v="Yes"/>
  </r>
  <r>
    <n v="877"/>
    <n v="45"/>
    <s v="Female"/>
    <s v="Appendicitis"/>
    <s v="Appendectomy"/>
    <n v="8000"/>
    <n v="64"/>
    <s v="No"/>
    <s v="Recovered"/>
    <n v="3"/>
    <x v="0"/>
    <s v="Medium"/>
    <s v="No"/>
  </r>
  <r>
    <n v="878"/>
    <n v="40"/>
    <s v="Male"/>
    <s v="Fractured Leg"/>
    <s v="Cast and Physical Therapy"/>
    <n v="3000"/>
    <n v="64"/>
    <s v="No"/>
    <s v="Recovered"/>
    <n v="4"/>
    <x v="2"/>
    <s v="Medium"/>
    <s v="Yes"/>
  </r>
  <r>
    <n v="879"/>
    <n v="78"/>
    <s v="Female"/>
    <s v="Heart Attack"/>
    <s v="Cardiac Catheterization"/>
    <n v="18000"/>
    <n v="66"/>
    <s v="Yes"/>
    <s v="Stable"/>
    <n v="2"/>
    <x v="3"/>
    <s v="High"/>
    <s v="No"/>
  </r>
  <r>
    <n v="880"/>
    <n v="25"/>
    <s v="Male"/>
    <s v="Allergic Reaction"/>
    <s v="Epinephrine Injection"/>
    <n v="100"/>
    <n v="59"/>
    <s v="No"/>
    <s v="Recovered"/>
    <n v="5"/>
    <x v="4"/>
    <s v="Low"/>
    <s v="Yes"/>
  </r>
  <r>
    <n v="881"/>
    <n v="52"/>
    <s v="Female"/>
    <s v="Respiratory Infection"/>
    <s v="Antibiotics and Rest"/>
    <n v="800"/>
    <n v="60"/>
    <s v="No"/>
    <s v="Stable"/>
    <n v="4"/>
    <x v="0"/>
    <s v="Low"/>
    <s v="Yes"/>
  </r>
  <r>
    <n v="882"/>
    <n v="58"/>
    <s v="Male"/>
    <s v="Prostate Cancer"/>
    <s v="Radiation Therapy"/>
    <n v="20000"/>
    <n v="67"/>
    <s v="No"/>
    <s v="Recovered"/>
    <n v="3"/>
    <x v="0"/>
    <s v="High"/>
    <s v="No"/>
  </r>
  <r>
    <n v="883"/>
    <n v="32"/>
    <s v="Female"/>
    <s v="Childbirth"/>
    <s v="Delivery and Postnatal Care"/>
    <n v="12000"/>
    <n v="61"/>
    <s v="No"/>
    <s v="Recovered"/>
    <n v="4"/>
    <x v="2"/>
    <s v="High"/>
    <s v="Yes"/>
  </r>
  <r>
    <n v="884"/>
    <n v="55"/>
    <s v="Male"/>
    <s v="Kidney Stones"/>
    <s v="Lithotripsy"/>
    <n v="6000"/>
    <n v="62"/>
    <s v="No"/>
    <s v="Recovered"/>
    <n v="3"/>
    <x v="0"/>
    <s v="Medium"/>
    <s v="No"/>
  </r>
  <r>
    <n v="885"/>
    <n v="65"/>
    <s v="Female"/>
    <s v="Osteoarthritis"/>
    <s v="Physical Therapy and Pain Management"/>
    <n v="4000"/>
    <n v="63"/>
    <s v="No"/>
    <s v="Stable"/>
    <n v="4"/>
    <x v="1"/>
    <s v="Medium"/>
    <s v="Yes"/>
  </r>
  <r>
    <n v="886"/>
    <n v="55"/>
    <s v="Female"/>
    <s v="Heart Disease"/>
    <s v="Angioplasty"/>
    <n v="15000"/>
    <n v="64"/>
    <s v="Yes"/>
    <s v="Recovered"/>
    <n v="3"/>
    <x v="0"/>
    <s v="High"/>
    <s v="No"/>
  </r>
  <r>
    <n v="887"/>
    <n v="62"/>
    <s v="Male"/>
    <s v="Diabetes"/>
    <s v="Insulin Therapy"/>
    <n v="2000"/>
    <n v="62"/>
    <s v="No"/>
    <s v="Stable"/>
    <n v="4"/>
    <x v="1"/>
    <s v="Medium"/>
    <s v="Yes"/>
  </r>
  <r>
    <n v="888"/>
    <n v="35"/>
    <s v="Female"/>
    <s v="Fractured Arm"/>
    <s v="X-Ray and Splint"/>
    <n v="500"/>
    <n v="60"/>
    <s v="Yes"/>
    <s v="Recovered"/>
    <n v="5"/>
    <x v="2"/>
    <s v="Low"/>
    <s v="Yes"/>
  </r>
  <r>
    <n v="889"/>
    <n v="78"/>
    <s v="Male"/>
    <s v="Stroke"/>
    <s v="CT Scan and Medication"/>
    <n v="10000"/>
    <n v="67"/>
    <s v="No"/>
    <s v="Stable"/>
    <n v="2"/>
    <x v="3"/>
    <s v="High"/>
    <s v="No"/>
  </r>
  <r>
    <n v="890"/>
    <n v="53"/>
    <s v="Female"/>
    <s v="Cancer"/>
    <s v="Surgery and Chemotherapy"/>
    <n v="25000"/>
    <n v="69"/>
    <s v="Yes"/>
    <s v="Recovered"/>
    <n v="4"/>
    <x v="0"/>
    <s v="High"/>
    <s v="Yes"/>
  </r>
  <r>
    <n v="891"/>
    <n v="72"/>
    <s v="Male"/>
    <s v="Hypertension"/>
    <s v="Medication and Counseling"/>
    <n v="1000"/>
    <n v="63"/>
    <s v="No"/>
    <s v="Stable"/>
    <n v="4"/>
    <x v="1"/>
    <s v="Low"/>
    <s v="Yes"/>
  </r>
  <r>
    <n v="892"/>
    <n v="60"/>
    <s v="Female"/>
    <s v="Appendicitis"/>
    <s v="Appendectomy"/>
    <n v="8000"/>
    <n v="65"/>
    <s v="Yes"/>
    <s v="Recovered"/>
    <n v="3"/>
    <x v="1"/>
    <s v="Medium"/>
    <s v="No"/>
  </r>
  <r>
    <n v="893"/>
    <n v="45"/>
    <s v="Male"/>
    <s v="Fractured Leg"/>
    <s v="Cast and Physical Therapy"/>
    <n v="3000"/>
    <n v="65"/>
    <s v="No"/>
    <s v="Recovered"/>
    <n v="4"/>
    <x v="0"/>
    <s v="Medium"/>
    <s v="Yes"/>
  </r>
  <r>
    <n v="894"/>
    <n v="75"/>
    <s v="Female"/>
    <s v="Heart Attack"/>
    <s v="Cardiac Catheterization"/>
    <n v="18000"/>
    <n v="67"/>
    <s v="Yes"/>
    <s v="Stable"/>
    <n v="2"/>
    <x v="3"/>
    <s v="High"/>
    <s v="No"/>
  </r>
  <r>
    <n v="895"/>
    <n v="28"/>
    <s v="Male"/>
    <s v="Allergic Reaction"/>
    <s v="Epinephrine Injection"/>
    <n v="100"/>
    <n v="60"/>
    <s v="No"/>
    <s v="Recovered"/>
    <n v="5"/>
    <x v="4"/>
    <s v="Low"/>
    <s v="Yes"/>
  </r>
  <r>
    <n v="896"/>
    <n v="52"/>
    <s v="Female"/>
    <s v="Respiratory Infection"/>
    <s v="Antibiotics and Rest"/>
    <n v="800"/>
    <n v="61"/>
    <s v="No"/>
    <s v="Stable"/>
    <n v="4"/>
    <x v="0"/>
    <s v="Low"/>
    <s v="Yes"/>
  </r>
  <r>
    <n v="897"/>
    <n v="67"/>
    <s v="Male"/>
    <s v="Prostate Cancer"/>
    <s v="Radiation Therapy"/>
    <n v="20000"/>
    <n v="68"/>
    <s v="No"/>
    <s v="Recovered"/>
    <n v="3"/>
    <x v="1"/>
    <s v="High"/>
    <s v="No"/>
  </r>
  <r>
    <n v="898"/>
    <n v="35"/>
    <s v="Female"/>
    <s v="Childbirth"/>
    <s v="Delivery and Postnatal Care"/>
    <n v="12000"/>
    <n v="62"/>
    <s v="No"/>
    <s v="Recovered"/>
    <n v="4"/>
    <x v="2"/>
    <s v="High"/>
    <s v="Yes"/>
  </r>
  <r>
    <n v="899"/>
    <n v="50"/>
    <s v="Male"/>
    <s v="Kidney Stones"/>
    <s v="Lithotripsy"/>
    <n v="6000"/>
    <n v="63"/>
    <s v="No"/>
    <s v="Recovered"/>
    <n v="3"/>
    <x v="0"/>
    <s v="Medium"/>
    <s v="No"/>
  </r>
  <r>
    <n v="900"/>
    <n v="60"/>
    <s v="Female"/>
    <s v="Osteoarthritis"/>
    <s v="Physical Therapy and Pain Management"/>
    <n v="4000"/>
    <n v="64"/>
    <s v="No"/>
    <s v="Stable"/>
    <n v="4"/>
    <x v="1"/>
    <s v="Medium"/>
    <s v="Yes"/>
  </r>
  <r>
    <n v="901"/>
    <n v="48"/>
    <s v="Female"/>
    <s v="Heart Disease"/>
    <s v="Angioplasty"/>
    <n v="15000"/>
    <n v="65"/>
    <s v="Yes"/>
    <s v="Recovered"/>
    <n v="4"/>
    <x v="0"/>
    <s v="High"/>
    <s v="Yes"/>
  </r>
  <r>
    <n v="902"/>
    <n v="65"/>
    <s v="Male"/>
    <s v="Diabetes"/>
    <s v="Insulin Therapy"/>
    <n v="2000"/>
    <n v="63"/>
    <s v="No"/>
    <s v="Stable"/>
    <n v="3"/>
    <x v="1"/>
    <s v="Medium"/>
    <s v="No"/>
  </r>
  <r>
    <n v="903"/>
    <n v="30"/>
    <s v="Female"/>
    <s v="Fractured Arm"/>
    <s v="X-Ray and Splint"/>
    <n v="500"/>
    <n v="61"/>
    <s v="No"/>
    <s v="Recovered"/>
    <n v="5"/>
    <x v="2"/>
    <s v="Low"/>
    <s v="Yes"/>
  </r>
  <r>
    <n v="904"/>
    <n v="70"/>
    <s v="Male"/>
    <s v="Stroke"/>
    <s v="CT Scan and Medication"/>
    <n v="10000"/>
    <n v="68"/>
    <s v="Yes"/>
    <s v="Stable"/>
    <n v="2"/>
    <x v="1"/>
    <s v="High"/>
    <s v="No"/>
  </r>
  <r>
    <n v="905"/>
    <n v="55"/>
    <s v="Female"/>
    <s v="Cancer"/>
    <s v="Surgery and Chemotherapy"/>
    <n v="25000"/>
    <n v="70"/>
    <s v="No"/>
    <s v="Recovered"/>
    <n v="4"/>
    <x v="0"/>
    <s v="High"/>
    <s v="Yes"/>
  </r>
  <r>
    <n v="907"/>
    <n v="45"/>
    <s v="Female"/>
    <s v="Appendicitis"/>
    <s v="Appendectomy"/>
    <n v="8000"/>
    <n v="66"/>
    <s v="No"/>
    <s v="Recovered"/>
    <n v="3"/>
    <x v="0"/>
    <s v="Medium"/>
    <s v="No"/>
  </r>
  <r>
    <n v="908"/>
    <n v="40"/>
    <s v="Male"/>
    <s v="Fractured Leg"/>
    <s v="Cast and Physical Therapy"/>
    <n v="3000"/>
    <n v="66"/>
    <s v="No"/>
    <s v="Recovered"/>
    <n v="4"/>
    <x v="2"/>
    <s v="Medium"/>
    <s v="Yes"/>
  </r>
  <r>
    <n v="909"/>
    <n v="78"/>
    <s v="Female"/>
    <s v="Heart Attack"/>
    <s v="Cardiac Catheterization"/>
    <n v="18000"/>
    <n v="68"/>
    <s v="Yes"/>
    <s v="Stable"/>
    <n v="2"/>
    <x v="3"/>
    <s v="High"/>
    <s v="No"/>
  </r>
  <r>
    <n v="910"/>
    <n v="25"/>
    <s v="Male"/>
    <s v="Allergic Reaction"/>
    <s v="Epinephrine Injection"/>
    <n v="100"/>
    <n v="61"/>
    <s v="No"/>
    <s v="Recovered"/>
    <n v="5"/>
    <x v="4"/>
    <s v="Low"/>
    <s v="Yes"/>
  </r>
  <r>
    <n v="911"/>
    <n v="52"/>
    <s v="Female"/>
    <s v="Respiratory Infection"/>
    <s v="Antibiotics and Rest"/>
    <n v="800"/>
    <n v="62"/>
    <s v="No"/>
    <s v="Stable"/>
    <n v="4"/>
    <x v="0"/>
    <s v="Low"/>
    <s v="Yes"/>
  </r>
  <r>
    <n v="912"/>
    <n v="58"/>
    <s v="Male"/>
    <s v="Prostate Cancer"/>
    <s v="Radiation Therapy"/>
    <n v="20000"/>
    <n v="69"/>
    <s v="No"/>
    <s v="Recovered"/>
    <n v="3"/>
    <x v="0"/>
    <s v="High"/>
    <s v="No"/>
  </r>
  <r>
    <n v="913"/>
    <n v="32"/>
    <s v="Female"/>
    <s v="Childbirth"/>
    <s v="Delivery and Postnatal Care"/>
    <n v="12000"/>
    <n v="63"/>
    <s v="No"/>
    <s v="Recovered"/>
    <n v="4"/>
    <x v="2"/>
    <s v="High"/>
    <s v="Yes"/>
  </r>
  <r>
    <n v="914"/>
    <n v="55"/>
    <s v="Male"/>
    <s v="Kidney Stones"/>
    <s v="Lithotripsy"/>
    <n v="6000"/>
    <n v="64"/>
    <s v="No"/>
    <s v="Recovered"/>
    <n v="3"/>
    <x v="0"/>
    <s v="Medium"/>
    <s v="No"/>
  </r>
  <r>
    <n v="915"/>
    <n v="65"/>
    <s v="Female"/>
    <s v="Osteoarthritis"/>
    <s v="Physical Therapy and Pain Management"/>
    <n v="4000"/>
    <n v="65"/>
    <s v="No"/>
    <s v="Stable"/>
    <n v="4"/>
    <x v="1"/>
    <s v="Medium"/>
    <s v="Yes"/>
  </r>
  <r>
    <n v="916"/>
    <n v="55"/>
    <s v="Female"/>
    <s v="Heart Disease"/>
    <s v="Angioplasty"/>
    <n v="15000"/>
    <n v="66"/>
    <s v="Yes"/>
    <s v="Recovered"/>
    <n v="3"/>
    <x v="0"/>
    <s v="High"/>
    <s v="No"/>
  </r>
  <r>
    <n v="917"/>
    <n v="62"/>
    <s v="Male"/>
    <s v="Diabetes"/>
    <s v="Insulin Therapy"/>
    <n v="2000"/>
    <n v="64"/>
    <s v="No"/>
    <s v="Stable"/>
    <n v="4"/>
    <x v="1"/>
    <s v="Medium"/>
    <s v="Yes"/>
  </r>
  <r>
    <n v="918"/>
    <n v="35"/>
    <s v="Female"/>
    <s v="Fractured Arm"/>
    <s v="X-Ray and Splint"/>
    <n v="500"/>
    <n v="62"/>
    <s v="Yes"/>
    <s v="Recovered"/>
    <n v="5"/>
    <x v="2"/>
    <s v="Low"/>
    <s v="Yes"/>
  </r>
  <r>
    <n v="919"/>
    <n v="78"/>
    <s v="Male"/>
    <s v="Stroke"/>
    <s v="CT Scan and Medication"/>
    <n v="10000"/>
    <n v="69"/>
    <s v="No"/>
    <s v="Stable"/>
    <n v="2"/>
    <x v="3"/>
    <s v="High"/>
    <s v="No"/>
  </r>
  <r>
    <n v="920"/>
    <n v="53"/>
    <s v="Female"/>
    <s v="Cancer"/>
    <s v="Surgery and Chemotherapy"/>
    <n v="25000"/>
    <n v="71"/>
    <s v="Yes"/>
    <s v="Recovered"/>
    <n v="4"/>
    <x v="0"/>
    <s v="High"/>
    <s v="Yes"/>
  </r>
  <r>
    <n v="921"/>
    <n v="72"/>
    <s v="Male"/>
    <s v="Hypertension"/>
    <s v="Medication and Counseling"/>
    <n v="1000"/>
    <n v="65"/>
    <s v="No"/>
    <s v="Stable"/>
    <n v="4"/>
    <x v="1"/>
    <s v="Low"/>
    <s v="Yes"/>
  </r>
  <r>
    <n v="922"/>
    <n v="60"/>
    <s v="Female"/>
    <s v="Appendicitis"/>
    <s v="Appendectomy"/>
    <n v="8000"/>
    <n v="67"/>
    <s v="Yes"/>
    <s v="Recovered"/>
    <n v="3"/>
    <x v="1"/>
    <s v="Medium"/>
    <s v="No"/>
  </r>
  <r>
    <n v="923"/>
    <n v="45"/>
    <s v="Male"/>
    <s v="Fractured Leg"/>
    <s v="Cast and Physical Therapy"/>
    <n v="3000"/>
    <n v="67"/>
    <s v="No"/>
    <s v="Recovered"/>
    <n v="4"/>
    <x v="0"/>
    <s v="Medium"/>
    <s v="Yes"/>
  </r>
  <r>
    <n v="924"/>
    <n v="75"/>
    <s v="Female"/>
    <s v="Heart Attack"/>
    <s v="Cardiac Catheterization"/>
    <n v="18000"/>
    <n v="69"/>
    <s v="Yes"/>
    <s v="Stable"/>
    <n v="2"/>
    <x v="3"/>
    <s v="High"/>
    <s v="No"/>
  </r>
  <r>
    <n v="925"/>
    <n v="28"/>
    <s v="Male"/>
    <s v="Allergic Reaction"/>
    <s v="Epinephrine Injection"/>
    <n v="100"/>
    <n v="62"/>
    <s v="No"/>
    <s v="Recovered"/>
    <n v="5"/>
    <x v="4"/>
    <s v="Low"/>
    <s v="Yes"/>
  </r>
  <r>
    <n v="926"/>
    <n v="52"/>
    <s v="Female"/>
    <s v="Respiratory Infection"/>
    <s v="Antibiotics and Rest"/>
    <n v="800"/>
    <n v="63"/>
    <s v="No"/>
    <s v="Stable"/>
    <n v="4"/>
    <x v="0"/>
    <s v="Low"/>
    <s v="Yes"/>
  </r>
  <r>
    <n v="927"/>
    <n v="67"/>
    <s v="Male"/>
    <s v="Prostate Cancer"/>
    <s v="Radiation Therapy"/>
    <n v="20000"/>
    <n v="70"/>
    <s v="No"/>
    <s v="Recovered"/>
    <n v="3"/>
    <x v="1"/>
    <s v="High"/>
    <s v="No"/>
  </r>
  <r>
    <n v="928"/>
    <n v="35"/>
    <s v="Female"/>
    <s v="Childbirth"/>
    <s v="Delivery and Postnatal Care"/>
    <n v="12000"/>
    <n v="64"/>
    <s v="No"/>
    <s v="Recovered"/>
    <n v="4"/>
    <x v="2"/>
    <s v="High"/>
    <s v="Yes"/>
  </r>
  <r>
    <n v="929"/>
    <n v="50"/>
    <s v="Male"/>
    <s v="Kidney Stones"/>
    <s v="Lithotripsy"/>
    <n v="6000"/>
    <n v="65"/>
    <s v="No"/>
    <s v="Recovered"/>
    <n v="3"/>
    <x v="0"/>
    <s v="Medium"/>
    <s v="No"/>
  </r>
  <r>
    <n v="930"/>
    <n v="60"/>
    <s v="Female"/>
    <s v="Osteoarthritis"/>
    <s v="Physical Therapy and Pain Management"/>
    <n v="4000"/>
    <n v="66"/>
    <s v="No"/>
    <s v="Stable"/>
    <n v="4"/>
    <x v="1"/>
    <s v="Medium"/>
    <s v="Yes"/>
  </r>
  <r>
    <n v="931"/>
    <n v="48"/>
    <s v="Female"/>
    <s v="Heart Disease"/>
    <s v="Angioplasty"/>
    <n v="15000"/>
    <n v="67"/>
    <s v="Yes"/>
    <s v="Recovered"/>
    <n v="4"/>
    <x v="0"/>
    <s v="High"/>
    <s v="Yes"/>
  </r>
  <r>
    <n v="932"/>
    <n v="65"/>
    <s v="Male"/>
    <s v="Diabetes"/>
    <s v="Insulin Therapy"/>
    <n v="2000"/>
    <n v="65"/>
    <s v="No"/>
    <s v="Stable"/>
    <n v="3"/>
    <x v="1"/>
    <s v="Medium"/>
    <s v="No"/>
  </r>
  <r>
    <n v="933"/>
    <n v="30"/>
    <s v="Female"/>
    <s v="Fractured Arm"/>
    <s v="X-Ray and Splint"/>
    <n v="500"/>
    <n v="63"/>
    <s v="No"/>
    <s v="Recovered"/>
    <n v="5"/>
    <x v="2"/>
    <s v="Low"/>
    <s v="Yes"/>
  </r>
  <r>
    <n v="934"/>
    <n v="70"/>
    <s v="Male"/>
    <s v="Stroke"/>
    <s v="CT Scan and Medication"/>
    <n v="10000"/>
    <n v="70"/>
    <s v="Yes"/>
    <s v="Stable"/>
    <n v="2"/>
    <x v="1"/>
    <s v="High"/>
    <s v="No"/>
  </r>
  <r>
    <n v="935"/>
    <n v="55"/>
    <s v="Female"/>
    <s v="Cancer"/>
    <s v="Surgery and Chemotherapy"/>
    <n v="25000"/>
    <n v="72"/>
    <s v="No"/>
    <s v="Recovered"/>
    <n v="4"/>
    <x v="0"/>
    <s v="High"/>
    <s v="Yes"/>
  </r>
  <r>
    <n v="936"/>
    <n v="68"/>
    <s v="Male"/>
    <s v="Hypertension"/>
    <s v="Medication and Counseling"/>
    <n v="1000"/>
    <n v="66"/>
    <s v="No"/>
    <s v="Stable"/>
    <n v="4"/>
    <x v="1"/>
    <s v="Low"/>
    <s v="Yes"/>
  </r>
  <r>
    <n v="937"/>
    <n v="45"/>
    <s v="Female"/>
    <s v="Appendicitis"/>
    <s v="Appendectomy"/>
    <n v="8000"/>
    <n v="68"/>
    <s v="No"/>
    <s v="Recovered"/>
    <n v="3"/>
    <x v="0"/>
    <s v="Medium"/>
    <s v="No"/>
  </r>
  <r>
    <n v="938"/>
    <n v="40"/>
    <s v="Male"/>
    <s v="Fractured Leg"/>
    <s v="Cast and Physical Therapy"/>
    <n v="3000"/>
    <n v="68"/>
    <s v="No"/>
    <s v="Recovered"/>
    <n v="4"/>
    <x v="2"/>
    <s v="Medium"/>
    <s v="Yes"/>
  </r>
  <r>
    <n v="939"/>
    <n v="78"/>
    <s v="Female"/>
    <s v="Heart Attack"/>
    <s v="Cardiac Catheterization"/>
    <n v="18000"/>
    <n v="70"/>
    <s v="Yes"/>
    <s v="Stable"/>
    <n v="2"/>
    <x v="3"/>
    <s v="High"/>
    <s v="No"/>
  </r>
  <r>
    <n v="940"/>
    <n v="25"/>
    <s v="Male"/>
    <s v="Allergic Reaction"/>
    <s v="Epinephrine Injection"/>
    <n v="100"/>
    <n v="63"/>
    <s v="No"/>
    <s v="Recovered"/>
    <n v="5"/>
    <x v="4"/>
    <s v="Low"/>
    <s v="Yes"/>
  </r>
  <r>
    <n v="941"/>
    <n v="52"/>
    <s v="Female"/>
    <s v="Respiratory Infection"/>
    <s v="Antibiotics and Rest"/>
    <n v="800"/>
    <n v="64"/>
    <s v="No"/>
    <s v="Stable"/>
    <n v="4"/>
    <x v="0"/>
    <s v="Low"/>
    <s v="Yes"/>
  </r>
  <r>
    <n v="942"/>
    <n v="58"/>
    <s v="Male"/>
    <s v="Prostate Cancer"/>
    <s v="Radiation Therapy"/>
    <n v="20000"/>
    <n v="71"/>
    <s v="No"/>
    <s v="Recovered"/>
    <n v="3"/>
    <x v="0"/>
    <s v="High"/>
    <s v="No"/>
  </r>
  <r>
    <n v="943"/>
    <n v="32"/>
    <s v="Female"/>
    <s v="Childbirth"/>
    <s v="Delivery and Postnatal Care"/>
    <n v="12000"/>
    <n v="65"/>
    <s v="No"/>
    <s v="Recovered"/>
    <n v="4"/>
    <x v="2"/>
    <s v="High"/>
    <s v="Yes"/>
  </r>
  <r>
    <n v="944"/>
    <n v="55"/>
    <s v="Male"/>
    <s v="Kidney Stones"/>
    <s v="Lithotripsy"/>
    <n v="6000"/>
    <n v="66"/>
    <s v="No"/>
    <s v="Recovered"/>
    <n v="3"/>
    <x v="0"/>
    <s v="Medium"/>
    <s v="No"/>
  </r>
  <r>
    <n v="945"/>
    <n v="65"/>
    <s v="Female"/>
    <s v="Osteoarthritis"/>
    <s v="Physical Therapy and Pain Management"/>
    <n v="4000"/>
    <n v="67"/>
    <s v="No"/>
    <s v="Stable"/>
    <n v="4"/>
    <x v="1"/>
    <s v="Medium"/>
    <s v="Yes"/>
  </r>
  <r>
    <n v="946"/>
    <n v="55"/>
    <s v="Female"/>
    <s v="Heart Disease"/>
    <s v="Angioplasty"/>
    <n v="15000"/>
    <n v="68"/>
    <s v="Yes"/>
    <s v="Recovered"/>
    <n v="3"/>
    <x v="0"/>
    <s v="High"/>
    <s v="No"/>
  </r>
  <r>
    <n v="947"/>
    <n v="62"/>
    <s v="Male"/>
    <s v="Diabetes"/>
    <s v="Insulin Therapy"/>
    <n v="2000"/>
    <n v="66"/>
    <s v="No"/>
    <s v="Stable"/>
    <n v="4"/>
    <x v="1"/>
    <s v="Medium"/>
    <s v="Yes"/>
  </r>
  <r>
    <n v="948"/>
    <n v="35"/>
    <s v="Female"/>
    <s v="Fractured Arm"/>
    <s v="X-Ray and Splint"/>
    <n v="500"/>
    <n v="64"/>
    <s v="Yes"/>
    <s v="Recovered"/>
    <n v="5"/>
    <x v="2"/>
    <s v="Low"/>
    <s v="Yes"/>
  </r>
  <r>
    <n v="949"/>
    <n v="78"/>
    <s v="Male"/>
    <s v="Stroke"/>
    <s v="CT Scan and Medication"/>
    <n v="10000"/>
    <n v="71"/>
    <s v="No"/>
    <s v="Stable"/>
    <n v="2"/>
    <x v="3"/>
    <s v="High"/>
    <s v="No"/>
  </r>
  <r>
    <n v="950"/>
    <n v="53"/>
    <s v="Female"/>
    <s v="Cancer"/>
    <s v="Surgery and Chemotherapy"/>
    <n v="25000"/>
    <n v="73"/>
    <s v="Yes"/>
    <s v="Recovered"/>
    <n v="4"/>
    <x v="0"/>
    <s v="High"/>
    <s v="Yes"/>
  </r>
  <r>
    <n v="951"/>
    <n v="72"/>
    <s v="Male"/>
    <s v="Hypertension"/>
    <s v="Medication and Counseling"/>
    <n v="1000"/>
    <n v="67"/>
    <s v="No"/>
    <s v="Stable"/>
    <n v="4"/>
    <x v="1"/>
    <s v="Low"/>
    <s v="Yes"/>
  </r>
  <r>
    <n v="952"/>
    <n v="60"/>
    <s v="Female"/>
    <s v="Appendicitis"/>
    <s v="Appendectomy"/>
    <n v="8000"/>
    <n v="69"/>
    <s v="Yes"/>
    <s v="Recovered"/>
    <n v="3"/>
    <x v="1"/>
    <s v="Medium"/>
    <s v="No"/>
  </r>
  <r>
    <n v="953"/>
    <n v="45"/>
    <s v="Male"/>
    <s v="Fractured Leg"/>
    <s v="Cast and Physical Therapy"/>
    <n v="3000"/>
    <n v="69"/>
    <s v="No"/>
    <s v="Recovered"/>
    <n v="4"/>
    <x v="0"/>
    <s v="Medium"/>
    <s v="Yes"/>
  </r>
  <r>
    <n v="954"/>
    <n v="75"/>
    <s v="Female"/>
    <s v="Heart Attack"/>
    <s v="Cardiac Catheterization"/>
    <n v="18000"/>
    <n v="71"/>
    <s v="Yes"/>
    <s v="Stable"/>
    <n v="2"/>
    <x v="3"/>
    <s v="High"/>
    <s v="No"/>
  </r>
  <r>
    <n v="955"/>
    <n v="28"/>
    <s v="Male"/>
    <s v="Allergic Reaction"/>
    <s v="Epinephrine Injection"/>
    <n v="100"/>
    <n v="64"/>
    <s v="No"/>
    <s v="Recovered"/>
    <n v="5"/>
    <x v="4"/>
    <s v="Low"/>
    <s v="Yes"/>
  </r>
  <r>
    <n v="956"/>
    <n v="52"/>
    <s v="Female"/>
    <s v="Respiratory Infection"/>
    <s v="Antibiotics and Rest"/>
    <n v="800"/>
    <n v="65"/>
    <s v="No"/>
    <s v="Stable"/>
    <n v="4"/>
    <x v="0"/>
    <s v="Low"/>
    <s v="Yes"/>
  </r>
  <r>
    <n v="957"/>
    <n v="67"/>
    <s v="Male"/>
    <s v="Prostate Cancer"/>
    <s v="Radiation Therapy"/>
    <n v="20000"/>
    <n v="72"/>
    <s v="No"/>
    <s v="Recovered"/>
    <n v="3"/>
    <x v="1"/>
    <s v="High"/>
    <s v="No"/>
  </r>
  <r>
    <n v="958"/>
    <n v="35"/>
    <s v="Female"/>
    <s v="Childbirth"/>
    <s v="Delivery and Postnatal Care"/>
    <n v="12000"/>
    <n v="66"/>
    <s v="No"/>
    <s v="Recovered"/>
    <n v="4"/>
    <x v="2"/>
    <s v="High"/>
    <s v="Yes"/>
  </r>
  <r>
    <n v="959"/>
    <n v="50"/>
    <s v="Male"/>
    <s v="Kidney Stones"/>
    <s v="Lithotripsy"/>
    <n v="6000"/>
    <n v="67"/>
    <s v="No"/>
    <s v="Recovered"/>
    <n v="3"/>
    <x v="0"/>
    <s v="Medium"/>
    <s v="No"/>
  </r>
  <r>
    <n v="960"/>
    <n v="60"/>
    <s v="Female"/>
    <s v="Osteoarthritis"/>
    <s v="Physical Therapy and Pain Management"/>
    <n v="4000"/>
    <n v="68"/>
    <s v="No"/>
    <s v="Stable"/>
    <n v="4"/>
    <x v="1"/>
    <s v="Medium"/>
    <s v="Yes"/>
  </r>
  <r>
    <n v="961"/>
    <n v="48"/>
    <s v="Female"/>
    <s v="Heart Disease"/>
    <s v="Angioplasty"/>
    <n v="15000"/>
    <n v="69"/>
    <s v="Yes"/>
    <s v="Recovered"/>
    <n v="4"/>
    <x v="0"/>
    <s v="High"/>
    <s v="Yes"/>
  </r>
  <r>
    <n v="962"/>
    <n v="65"/>
    <s v="Male"/>
    <s v="Diabetes"/>
    <s v="Insulin Therapy"/>
    <n v="2000"/>
    <n v="67"/>
    <s v="No"/>
    <s v="Stable"/>
    <n v="3"/>
    <x v="1"/>
    <s v="Medium"/>
    <s v="No"/>
  </r>
  <r>
    <n v="963"/>
    <n v="30"/>
    <s v="Female"/>
    <s v="Fractured Arm"/>
    <s v="X-Ray and Splint"/>
    <n v="500"/>
    <n v="65"/>
    <s v="No"/>
    <s v="Recovered"/>
    <n v="5"/>
    <x v="2"/>
    <s v="Low"/>
    <s v="Yes"/>
  </r>
  <r>
    <n v="964"/>
    <n v="70"/>
    <s v="Male"/>
    <s v="Stroke"/>
    <s v="CT Scan and Medication"/>
    <n v="10000"/>
    <n v="72"/>
    <s v="Yes"/>
    <s v="Stable"/>
    <n v="2"/>
    <x v="1"/>
    <s v="High"/>
    <s v="No"/>
  </r>
  <r>
    <n v="965"/>
    <n v="55"/>
    <s v="Female"/>
    <s v="Cancer"/>
    <s v="Surgery and Chemotherapy"/>
    <n v="25000"/>
    <n v="74"/>
    <s v="No"/>
    <s v="Recovered"/>
    <n v="4"/>
    <x v="0"/>
    <s v="High"/>
    <s v="Yes"/>
  </r>
  <r>
    <n v="966"/>
    <n v="68"/>
    <s v="Male"/>
    <s v="Hypertension"/>
    <s v="Medication and Counseling"/>
    <n v="1000"/>
    <n v="68"/>
    <s v="No"/>
    <s v="Stable"/>
    <n v="4"/>
    <x v="1"/>
    <s v="Low"/>
    <s v="Yes"/>
  </r>
  <r>
    <n v="968"/>
    <n v="40"/>
    <s v="Male"/>
    <s v="Fractured Leg"/>
    <s v="Cast and Physical Therapy"/>
    <n v="3000"/>
    <n v="70"/>
    <s v="No"/>
    <s v="Recovered"/>
    <n v="4"/>
    <x v="2"/>
    <s v="Medium"/>
    <s v="Yes"/>
  </r>
  <r>
    <n v="969"/>
    <n v="78"/>
    <s v="Female"/>
    <s v="Heart Attack"/>
    <s v="Cardiac Catheterization"/>
    <n v="18000"/>
    <n v="72"/>
    <s v="Yes"/>
    <s v="Stable"/>
    <n v="2"/>
    <x v="3"/>
    <s v="High"/>
    <s v="No"/>
  </r>
  <r>
    <n v="970"/>
    <n v="25"/>
    <s v="Male"/>
    <s v="Allergic Reaction"/>
    <s v="Epinephrine Injection"/>
    <n v="100"/>
    <n v="65"/>
    <s v="No"/>
    <s v="Recovered"/>
    <n v="5"/>
    <x v="4"/>
    <s v="Low"/>
    <s v="Yes"/>
  </r>
  <r>
    <n v="971"/>
    <n v="52"/>
    <s v="Female"/>
    <s v="Respiratory Infection"/>
    <s v="Antibiotics and Rest"/>
    <n v="800"/>
    <n v="66"/>
    <s v="No"/>
    <s v="Stable"/>
    <n v="4"/>
    <x v="0"/>
    <s v="Low"/>
    <s v="Yes"/>
  </r>
  <r>
    <n v="972"/>
    <n v="58"/>
    <s v="Male"/>
    <s v="Prostate Cancer"/>
    <s v="Radiation Therapy"/>
    <n v="20000"/>
    <n v="73"/>
    <s v="No"/>
    <s v="Recovered"/>
    <n v="3"/>
    <x v="0"/>
    <s v="High"/>
    <s v="No"/>
  </r>
  <r>
    <n v="973"/>
    <n v="32"/>
    <s v="Female"/>
    <s v="Childbirth"/>
    <s v="Delivery and Postnatal Care"/>
    <n v="12000"/>
    <n v="67"/>
    <s v="No"/>
    <s v="Recovered"/>
    <n v="4"/>
    <x v="2"/>
    <s v="High"/>
    <s v="Yes"/>
  </r>
  <r>
    <n v="974"/>
    <n v="55"/>
    <s v="Male"/>
    <s v="Kidney Stones"/>
    <s v="Lithotripsy"/>
    <n v="6000"/>
    <n v="68"/>
    <s v="No"/>
    <s v="Recovered"/>
    <n v="3"/>
    <x v="0"/>
    <s v="Medium"/>
    <s v="No"/>
  </r>
  <r>
    <n v="975"/>
    <n v="65"/>
    <s v="Female"/>
    <s v="Osteoarthritis"/>
    <s v="Physical Therapy and Pain Management"/>
    <n v="4000"/>
    <n v="69"/>
    <s v="No"/>
    <s v="Stable"/>
    <n v="4"/>
    <x v="1"/>
    <s v="Medium"/>
    <s v="Yes"/>
  </r>
  <r>
    <n v="976"/>
    <n v="55"/>
    <s v="Female"/>
    <s v="Heart Disease"/>
    <s v="Angioplasty"/>
    <n v="15000"/>
    <n v="70"/>
    <s v="Yes"/>
    <s v="Recovered"/>
    <n v="3"/>
    <x v="0"/>
    <s v="High"/>
    <s v="No"/>
  </r>
  <r>
    <n v="977"/>
    <n v="62"/>
    <s v="Male"/>
    <s v="Diabetes"/>
    <s v="Insulin Therapy"/>
    <n v="2000"/>
    <n v="68"/>
    <s v="No"/>
    <s v="Stable"/>
    <n v="4"/>
    <x v="1"/>
    <s v="Medium"/>
    <s v="Yes"/>
  </r>
  <r>
    <n v="978"/>
    <n v="35"/>
    <s v="Female"/>
    <s v="Fractured Arm"/>
    <s v="X-Ray and Splint"/>
    <n v="500"/>
    <n v="66"/>
    <s v="Yes"/>
    <s v="Recovered"/>
    <n v="5"/>
    <x v="2"/>
    <s v="Low"/>
    <s v="Yes"/>
  </r>
  <r>
    <n v="979"/>
    <n v="78"/>
    <s v="Male"/>
    <s v="Stroke"/>
    <s v="CT Scan and Medication"/>
    <n v="10000"/>
    <n v="73"/>
    <s v="No"/>
    <s v="Stable"/>
    <n v="2"/>
    <x v="3"/>
    <s v="High"/>
    <s v="No"/>
  </r>
  <r>
    <n v="980"/>
    <n v="53"/>
    <s v="Female"/>
    <s v="Cancer"/>
    <s v="Surgery and Chemotherapy"/>
    <n v="25000"/>
    <n v="75"/>
    <s v="Yes"/>
    <s v="Recovered"/>
    <n v="4"/>
    <x v="0"/>
    <s v="High"/>
    <s v="Yes"/>
  </r>
  <r>
    <n v="981"/>
    <n v="72"/>
    <s v="Male"/>
    <s v="Hypertension"/>
    <s v="Medication and Counseling"/>
    <n v="1000"/>
    <n v="69"/>
    <s v="No"/>
    <s v="Stable"/>
    <n v="4"/>
    <x v="1"/>
    <s v="Low"/>
    <s v="Yes"/>
  </r>
  <r>
    <n v="982"/>
    <n v="60"/>
    <s v="Female"/>
    <s v="Appendicitis"/>
    <s v="Appendectomy"/>
    <n v="8000"/>
    <n v="71"/>
    <s v="Yes"/>
    <s v="Recovered"/>
    <n v="3"/>
    <x v="1"/>
    <s v="Medium"/>
    <s v="No"/>
  </r>
  <r>
    <n v="983"/>
    <n v="45"/>
    <s v="Male"/>
    <s v="Fractured Leg"/>
    <s v="Cast and Physical Therapy"/>
    <n v="3000"/>
    <n v="71"/>
    <s v="No"/>
    <s v="Recovered"/>
    <n v="4"/>
    <x v="0"/>
    <s v="Medium"/>
    <s v="Yes"/>
  </r>
  <r>
    <n v="984"/>
    <n v="75"/>
    <s v="Female"/>
    <s v="Heart Attack"/>
    <s v="Cardiac Catheterization"/>
    <n v="18000"/>
    <n v="73"/>
    <s v="Yes"/>
    <s v="Stable"/>
    <n v="2"/>
    <x v="3"/>
    <s v="High"/>
    <s v="No"/>
  </r>
  <r>
    <n v="985"/>
    <n v="28"/>
    <s v="Male"/>
    <s v="Allergic Reaction"/>
    <s v="Epinephrine Injection"/>
    <n v="100"/>
    <n v="67"/>
    <s v="No"/>
    <s v="Recovered"/>
    <n v="5"/>
    <x v="4"/>
    <s v="Low"/>
    <s v="Yes"/>
  </r>
  <r>
    <n v="986"/>
    <n v="52"/>
    <s v="Female"/>
    <s v="Respiratory Infection"/>
    <s v="Antibiotics and Rest"/>
    <n v="800"/>
    <n v="68"/>
    <s v="No"/>
    <s v="Stable"/>
    <n v="4"/>
    <x v="0"/>
    <s v="Low"/>
    <s v="Yes"/>
  </r>
  <r>
    <n v="987"/>
    <n v="67"/>
    <s v="Male"/>
    <s v="Prostate Cancer"/>
    <s v="Radiation Therapy"/>
    <n v="20000"/>
    <n v="74"/>
    <s v="No"/>
    <s v="Recovered"/>
    <n v="3"/>
    <x v="1"/>
    <s v="High"/>
    <s v="No"/>
  </r>
  <r>
    <n v="988"/>
    <n v="35"/>
    <s v="Female"/>
    <s v="Childbirth"/>
    <s v="Delivery and Postnatal Care"/>
    <n v="12000"/>
    <n v="68"/>
    <s v="No"/>
    <s v="Recovered"/>
    <n v="4"/>
    <x v="2"/>
    <s v="High"/>
    <s v="Yes"/>
  </r>
  <r>
    <n v="989"/>
    <n v="50"/>
    <s v="Male"/>
    <s v="Kidney Stones"/>
    <s v="Lithotripsy"/>
    <n v="6000"/>
    <n v="69"/>
    <s v="No"/>
    <s v="Recovered"/>
    <n v="3"/>
    <x v="0"/>
    <s v="Medium"/>
    <s v="No"/>
  </r>
  <r>
    <n v="990"/>
    <n v="60"/>
    <s v="Female"/>
    <s v="Osteoarthritis"/>
    <s v="Physical Therapy and Pain Management"/>
    <n v="4000"/>
    <n v="70"/>
    <s v="No"/>
    <s v="Stable"/>
    <n v="4"/>
    <x v="1"/>
    <s v="Medium"/>
    <s v="Yes"/>
  </r>
  <r>
    <n v="991"/>
    <n v="48"/>
    <s v="Female"/>
    <s v="Heart Disease"/>
    <s v="Angioplasty"/>
    <n v="15000"/>
    <n v="71"/>
    <s v="Yes"/>
    <s v="Recovered"/>
    <n v="4"/>
    <x v="0"/>
    <s v="High"/>
    <s v="Yes"/>
  </r>
  <r>
    <n v="992"/>
    <n v="65"/>
    <s v="Male"/>
    <s v="Diabetes"/>
    <s v="Insulin Therapy"/>
    <n v="2000"/>
    <n v="69"/>
    <s v="No"/>
    <s v="Stable"/>
    <n v="3"/>
    <x v="1"/>
    <s v="Medium"/>
    <s v="No"/>
  </r>
  <r>
    <n v="993"/>
    <n v="30"/>
    <s v="Female"/>
    <s v="Fractured Arm"/>
    <s v="X-Ray and Splint"/>
    <n v="500"/>
    <n v="67"/>
    <s v="No"/>
    <s v="Recovered"/>
    <n v="5"/>
    <x v="2"/>
    <s v="Low"/>
    <s v="Yes"/>
  </r>
  <r>
    <n v="994"/>
    <n v="70"/>
    <s v="Male"/>
    <s v="Stroke"/>
    <s v="CT Scan and Medication"/>
    <n v="10000"/>
    <n v="74"/>
    <s v="Yes"/>
    <s v="Stable"/>
    <n v="2"/>
    <x v="1"/>
    <s v="High"/>
    <s v="No"/>
  </r>
  <r>
    <n v="995"/>
    <n v="55"/>
    <s v="Female"/>
    <s v="Cancer"/>
    <s v="Surgery and Chemotherapy"/>
    <n v="25000"/>
    <n v="76"/>
    <s v="No"/>
    <s v="Recovered"/>
    <n v="4"/>
    <x v="0"/>
    <s v="High"/>
    <s v="Yes"/>
  </r>
  <r>
    <n v="996"/>
    <n v="68"/>
    <s v="Male"/>
    <s v="Hypertension"/>
    <s v="Medication and Counseling"/>
    <n v="1000"/>
    <n v="70"/>
    <s v="No"/>
    <s v="Stable"/>
    <n v="4"/>
    <x v="1"/>
    <s v="Low"/>
    <s v="Yes"/>
  </r>
  <r>
    <n v="997"/>
    <n v="45"/>
    <s v="Female"/>
    <s v="Appendicitis"/>
    <s v="Appendectomy"/>
    <n v="8000"/>
    <n v="72"/>
    <s v="No"/>
    <s v="Recovered"/>
    <n v="3"/>
    <x v="0"/>
    <s v="Medium"/>
    <s v="No"/>
  </r>
  <r>
    <n v="998"/>
    <n v="40"/>
    <s v="Male"/>
    <s v="Fractured Leg"/>
    <s v="Cast and Physical Therapy"/>
    <n v="3000"/>
    <n v="72"/>
    <s v="No"/>
    <s v="Recovered"/>
    <n v="4"/>
    <x v="2"/>
    <s v="Medium"/>
    <s v="Yes"/>
  </r>
  <r>
    <n v="999"/>
    <n v="78"/>
    <s v="Female"/>
    <s v="Heart Attack"/>
    <s v="Cardiac Catheterization"/>
    <n v="18000"/>
    <n v="74"/>
    <s v="Yes"/>
    <s v="Stable"/>
    <n v="2"/>
    <x v="3"/>
    <s v="High"/>
    <s v="No"/>
  </r>
  <r>
    <n v="1000"/>
    <n v="25"/>
    <s v="Male"/>
    <s v="Allergic Reaction"/>
    <s v="Epinephrine Injection"/>
    <n v="100"/>
    <n v="68"/>
    <s v="No"/>
    <s v="Recovered"/>
    <n v="5"/>
    <x v="4"/>
    <s v="Low"/>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10" applyNumberFormats="0" applyBorderFormats="0" applyFontFormats="0" applyPatternFormats="0" applyAlignmentFormats="0" applyWidthHeightFormats="1" dataCaption="Values" updatedVersion="6" minRefreshableVersion="3" useAutoFormatting="1" rowGrandTotals="0" colGrandTotals="0" itemPrintTitles="1" createdVersion="6" indent="0" compact="0" compactData="0" multipleFieldFilters="0" chartFormat="5">
  <location ref="A3:B8" firstHeaderRow="1" firstDataRow="1" firstDataCol="1"/>
  <pivotFields count="13">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5">
        <item x="4"/>
        <item x="2"/>
        <item x="0"/>
        <item x="1"/>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0"/>
  </rowFields>
  <rowItems count="5">
    <i>
      <x/>
    </i>
    <i>
      <x v="1"/>
    </i>
    <i>
      <x v="2"/>
    </i>
    <i>
      <x v="3"/>
    </i>
    <i>
      <x v="4"/>
    </i>
  </rowItems>
  <colItems count="1">
    <i/>
  </colItems>
  <dataFields count="1">
    <dataField name="No. of Patient_ID" fld="0" subtotal="count"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Lst>
</pivotTableDefinition>
</file>

<file path=xl/pivotTables/pivotTable2.xml><?xml version="1.0" encoding="utf-8"?>
<pivotTableDefinition xmlns="http://schemas.openxmlformats.org/spreadsheetml/2006/main" name="Readmission Analysis"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rowHeaderCaption="Condition">
  <location ref="E5:F13" firstHeaderRow="1" firstDataRow="1" firstDataCol="1" rowPageCount="1" colPageCount="1"/>
  <pivotFields count="13">
    <pivotField showAll="0"/>
    <pivotField showAll="0"/>
    <pivotField showAll="0">
      <items count="3">
        <item x="0"/>
        <item x="1"/>
        <item t="default"/>
      </items>
    </pivotField>
    <pivotField axis="axisRow" showAll="0" sortType="ascending">
      <items count="16">
        <item x="9"/>
        <item x="6"/>
        <item x="4"/>
        <item x="12"/>
        <item x="1"/>
        <item x="2"/>
        <item x="7"/>
        <item x="8"/>
        <item x="0"/>
        <item x="5"/>
        <item x="13"/>
        <item x="14"/>
        <item x="11"/>
        <item x="1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Page" dataField="1" showAll="0">
      <items count="3">
        <item x="0"/>
        <item x="1"/>
        <item t="default"/>
      </items>
    </pivotField>
    <pivotField showAll="0"/>
    <pivotField showAll="0"/>
    <pivotField showAll="0"/>
    <pivotField showAll="0"/>
    <pivotField showAll="0"/>
  </pivotFields>
  <rowFields count="1">
    <field x="3"/>
  </rowFields>
  <rowItems count="8">
    <i>
      <x v="4"/>
    </i>
    <i>
      <x v="5"/>
    </i>
    <i>
      <x v="1"/>
    </i>
    <i>
      <x v="2"/>
    </i>
    <i>
      <x v="14"/>
    </i>
    <i>
      <x v="8"/>
    </i>
    <i>
      <x v="7"/>
    </i>
    <i t="grand">
      <x/>
    </i>
  </rowItems>
  <colItems count="1">
    <i/>
  </colItems>
  <pageFields count="1">
    <pageField fld="7" item="1" hier="-1"/>
  </pageFields>
  <dataFields count="1">
    <dataField name="Count of Readmission" fld="7" subtotal="count" baseField="0" baseItem="0"/>
  </dataFields>
  <formats count="2">
    <format dxfId="6">
      <pivotArea dataOnly="0" labelOnly="1" outline="0" axis="axisValues" fieldPosition="0"/>
    </format>
    <format dxfId="7">
      <pivotArea dataOnly="0" labelOnly="1" outline="0" axis="axisValues" fieldPosition="0"/>
    </format>
  </format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Demographics Summary"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Age Group">
  <location ref="E18:H24" firstHeaderRow="0" firstDataRow="1" firstDataCol="1"/>
  <pivotFields count="13">
    <pivotField dataField="1" showAll="0"/>
    <pivotField showAll="0"/>
    <pivotField showAll="0">
      <items count="3">
        <item x="0"/>
        <item x="1"/>
        <item t="default"/>
      </items>
    </pivotField>
    <pivotField showAll="0">
      <items count="16">
        <item x="9"/>
        <item x="6"/>
        <item x="4"/>
        <item x="12"/>
        <item x="1"/>
        <item x="2"/>
        <item x="7"/>
        <item x="8"/>
        <item x="0"/>
        <item x="5"/>
        <item x="13"/>
        <item x="14"/>
        <item x="11"/>
        <item x="10"/>
        <item x="3"/>
        <item t="default"/>
      </items>
    </pivotField>
    <pivotField showAll="0"/>
    <pivotField dataField="1" showAll="0"/>
    <pivotField dataField="1" showAll="0"/>
    <pivotField showAll="0"/>
    <pivotField showAll="0"/>
    <pivotField showAll="0"/>
    <pivotField axis="axisRow" showAll="0">
      <items count="6">
        <item x="4"/>
        <item x="2"/>
        <item x="0"/>
        <item x="1"/>
        <item x="3"/>
        <item t="default"/>
      </items>
    </pivotField>
    <pivotField showAll="0"/>
    <pivotField showAll="0"/>
  </pivotFields>
  <rowFields count="1">
    <field x="10"/>
  </rowFields>
  <rowItems count="6">
    <i>
      <x/>
    </i>
    <i>
      <x v="1"/>
    </i>
    <i>
      <x v="2"/>
    </i>
    <i>
      <x v="3"/>
    </i>
    <i>
      <x v="4"/>
    </i>
    <i t="grand">
      <x/>
    </i>
  </rowItems>
  <colFields count="1">
    <field x="-2"/>
  </colFields>
  <colItems count="3">
    <i>
      <x/>
    </i>
    <i i="1">
      <x v="1"/>
    </i>
    <i i="2">
      <x v="2"/>
    </i>
  </colItems>
  <dataFields count="3">
    <dataField name="No. of Patients" fld="0" subtotal="count" baseField="10" baseItem="0"/>
    <dataField name="Average of Cost" fld="5" subtotal="average" baseField="10" baseItem="0"/>
    <dataField name="Count of Length_of_Stay" fld="6" subtotal="count" baseField="10" baseItem="0"/>
  </dataField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Satisfaction by Outcome"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Outcome">
  <location ref="H3:J6" firstHeaderRow="0" firstDataRow="1" firstDataCol="1"/>
  <pivotFields count="13">
    <pivotField dataField="1" showAll="0"/>
    <pivotField showAll="0"/>
    <pivotField showAll="0">
      <items count="3">
        <item x="0"/>
        <item x="1"/>
        <item t="default"/>
      </items>
    </pivotField>
    <pivotField showAll="0">
      <items count="16">
        <item x="9"/>
        <item x="6"/>
        <item x="4"/>
        <item x="12"/>
        <item x="1"/>
        <item x="2"/>
        <item x="7"/>
        <item x="8"/>
        <item x="0"/>
        <item x="5"/>
        <item x="13"/>
        <item x="14"/>
        <item x="11"/>
        <item x="10"/>
        <item x="3"/>
        <item t="default"/>
      </items>
    </pivotField>
    <pivotField showAll="0"/>
    <pivotField showAll="0"/>
    <pivotField showAll="0"/>
    <pivotField showAll="0"/>
    <pivotField axis="axisRow" showAll="0">
      <items count="3">
        <item x="0"/>
        <item x="1"/>
        <item t="default"/>
      </items>
    </pivotField>
    <pivotField dataField="1" showAll="0"/>
    <pivotField showAll="0"/>
    <pivotField showAll="0"/>
    <pivotField showAll="0"/>
  </pivotFields>
  <rowFields count="1">
    <field x="8"/>
  </rowFields>
  <rowItems count="3">
    <i>
      <x/>
    </i>
    <i>
      <x v="1"/>
    </i>
    <i t="grand">
      <x/>
    </i>
  </rowItems>
  <colFields count="1">
    <field x="-2"/>
  </colFields>
  <colItems count="2">
    <i>
      <x/>
    </i>
    <i i="1">
      <x v="1"/>
    </i>
  </colItems>
  <dataFields count="2">
    <dataField name="Average of Satisfaction" fld="9" subtotal="average" baseField="8" baseItem="0" numFmtId="2"/>
    <dataField name="No. of Patients" fld="0" subtotal="count" baseField="8" baseItem="0"/>
  </dataFields>
  <formats count="2">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s>
  <chartFormats count="4">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2" format="20" series="1">
      <pivotArea type="data" outline="0" fieldPosition="0">
        <references count="1">
          <reference field="4294967294" count="1" selected="0">
            <x v="0"/>
          </reference>
        </references>
      </pivotArea>
    </chartFormat>
    <chartFormat chart="2" format="21" series="1">
      <pivotArea type="data" outline="0" fieldPosition="0">
        <references count="1">
          <reference field="4294967294" count="1" selected="0">
            <x v="1"/>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Cost by Condition"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Condition">
  <location ref="A3:C19" firstHeaderRow="0" firstDataRow="1" firstDataCol="1"/>
  <pivotFields count="13">
    <pivotField dataField="1" showAll="0"/>
    <pivotField showAll="0"/>
    <pivotField showAll="0">
      <items count="3">
        <item x="0"/>
        <item x="1"/>
        <item t="default"/>
      </items>
    </pivotField>
    <pivotField axis="axisRow" showAll="0" sortType="ascending">
      <items count="16">
        <item x="9"/>
        <item x="6"/>
        <item x="4"/>
        <item x="12"/>
        <item x="1"/>
        <item x="2"/>
        <item x="7"/>
        <item x="8"/>
        <item x="0"/>
        <item x="5"/>
        <item x="13"/>
        <item x="14"/>
        <item x="11"/>
        <item x="10"/>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pivotFields>
  <rowFields count="1">
    <field x="3"/>
  </rowFields>
  <rowItems count="16">
    <i>
      <x/>
    </i>
    <i>
      <x v="5"/>
    </i>
    <i>
      <x v="13"/>
    </i>
    <i>
      <x v="9"/>
    </i>
    <i>
      <x v="4"/>
    </i>
    <i>
      <x v="6"/>
    </i>
    <i>
      <x v="11"/>
    </i>
    <i>
      <x v="10"/>
    </i>
    <i>
      <x v="1"/>
    </i>
    <i>
      <x v="14"/>
    </i>
    <i>
      <x v="3"/>
    </i>
    <i>
      <x v="8"/>
    </i>
    <i>
      <x v="7"/>
    </i>
    <i>
      <x v="12"/>
    </i>
    <i>
      <x v="2"/>
    </i>
    <i t="grand">
      <x/>
    </i>
  </rowItems>
  <colFields count="1">
    <field x="-2"/>
  </colFields>
  <colItems count="2">
    <i>
      <x/>
    </i>
    <i i="1">
      <x v="1"/>
    </i>
  </colItems>
  <dataFields count="2">
    <dataField name="Average of Cost" fld="5" subtotal="average" baseField="3" baseItem="0"/>
    <dataField name="No. of Patients" fld="0" subtotal="count" baseField="3" baseItem="0"/>
  </dataFields>
  <chartFormats count="4">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hospital data analysis" connectionId="1" autoFormatId="16" applyNumberFormats="0" applyBorderFormats="0" applyFontFormats="0" applyPatternFormats="0" applyAlignmentFormats="0" applyWidthHeightFormats="0"/>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3" name="Demographics Summary"/>
    <pivotTable tabId="3" name="Cost by Condition"/>
    <pivotTable tabId="3" name="Readmission Analysis"/>
    <pivotTable tabId="3" name="Satisfaction by Outcome"/>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ondition" sourceName="Condition">
  <pivotTables>
    <pivotTable tabId="3" name="Readmission Analysis"/>
    <pivotTable tabId="3" name="Cost by Condition"/>
    <pivotTable tabId="3" name="Demographics Summary"/>
    <pivotTable tabId="3" name="Satisfaction by Outcome"/>
  </pivotTables>
  <data>
    <tabular pivotCacheId="1">
      <items count="15">
        <i x="9" s="1"/>
        <i x="6" s="1"/>
        <i x="4" s="1"/>
        <i x="12" s="1"/>
        <i x="1" s="1"/>
        <i x="2" s="1"/>
        <i x="7" s="1"/>
        <i x="8" s="1"/>
        <i x="0" s="1"/>
        <i x="5" s="1"/>
        <i x="13" s="1"/>
        <i x="14" s="1"/>
        <i x="11" s="1"/>
        <i x="1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1" cache="Slicer_Gender" caption="Gender" style="SlicerStyleDark5" rowHeight="241300"/>
  <slicer name="Condition 1" cache="Slicer_Condition" caption="Condition" columnCount="4" style="SlicerStyleDark5"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K24" sqref="K24"/>
    </sheetView>
  </sheetViews>
  <sheetFormatPr defaultRowHeight="14.5" x14ac:dyDescent="0.35"/>
  <cols>
    <col min="1" max="1" width="11.90625" bestFit="1" customWidth="1"/>
    <col min="2" max="2" width="17.6328125" bestFit="1" customWidth="1"/>
  </cols>
  <sheetData>
    <row r="3" spans="1:2" x14ac:dyDescent="0.35">
      <c r="A3" s="7" t="s">
        <v>46</v>
      </c>
      <c r="B3" t="s">
        <v>81</v>
      </c>
    </row>
    <row r="4" spans="1:2" x14ac:dyDescent="0.35">
      <c r="A4" t="s">
        <v>73</v>
      </c>
      <c r="B4" s="9">
        <v>66</v>
      </c>
    </row>
    <row r="5" spans="1:2" x14ac:dyDescent="0.35">
      <c r="A5" t="s">
        <v>74</v>
      </c>
      <c r="B5" s="9">
        <v>165</v>
      </c>
    </row>
    <row r="6" spans="1:2" x14ac:dyDescent="0.35">
      <c r="A6" t="s">
        <v>75</v>
      </c>
      <c r="B6" s="9">
        <v>360</v>
      </c>
    </row>
    <row r="7" spans="1:2" x14ac:dyDescent="0.35">
      <c r="A7" t="s">
        <v>76</v>
      </c>
      <c r="B7" s="9">
        <v>293</v>
      </c>
    </row>
    <row r="8" spans="1:2" x14ac:dyDescent="0.35">
      <c r="A8" t="s">
        <v>77</v>
      </c>
      <c r="B8" s="9">
        <v>100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985"/>
  <sheetViews>
    <sheetView tabSelected="1" topLeftCell="A7" workbookViewId="0">
      <selection activeCell="X8" sqref="X8"/>
    </sheetView>
  </sheetViews>
  <sheetFormatPr defaultRowHeight="14.5" x14ac:dyDescent="0.35"/>
  <cols>
    <col min="1" max="1" width="10.26953125" bestFit="1" customWidth="1"/>
    <col min="2" max="2" width="4.453125" bestFit="1" customWidth="1"/>
    <col min="3" max="3" width="7.54296875" bestFit="1" customWidth="1"/>
    <col min="4" max="4" width="19.81640625" bestFit="1" customWidth="1"/>
    <col min="5" max="5" width="36.7265625" bestFit="1" customWidth="1"/>
    <col min="6" max="6" width="6" bestFit="1" customWidth="1"/>
    <col min="7" max="7" width="14.7265625" bestFit="1" customWidth="1"/>
    <col min="8" max="8" width="12.26953125" bestFit="1" customWidth="1"/>
    <col min="9" max="9" width="10.453125" bestFit="1" customWidth="1"/>
    <col min="10" max="10" width="11.26953125" bestFit="1" customWidth="1"/>
    <col min="11" max="11" width="11" customWidth="1"/>
    <col min="13" max="13" width="16.1796875" customWidth="1"/>
  </cols>
  <sheetData>
    <row r="1" spans="1:13" s="3" customFormat="1" x14ac:dyDescent="0.35">
      <c r="A1" s="3" t="s">
        <v>0</v>
      </c>
      <c r="B1" s="3" t="s">
        <v>1</v>
      </c>
      <c r="C1" s="3" t="s">
        <v>2</v>
      </c>
      <c r="D1" s="3" t="s">
        <v>3</v>
      </c>
      <c r="E1" s="3" t="s">
        <v>4</v>
      </c>
      <c r="F1" s="3" t="s">
        <v>5</v>
      </c>
      <c r="G1" s="3" t="s">
        <v>6</v>
      </c>
      <c r="H1" s="3" t="s">
        <v>7</v>
      </c>
      <c r="I1" s="3" t="s">
        <v>8</v>
      </c>
      <c r="J1" s="3" t="s">
        <v>9</v>
      </c>
      <c r="K1" s="3" t="s">
        <v>46</v>
      </c>
      <c r="L1" s="3" t="s">
        <v>47</v>
      </c>
      <c r="M1" s="3" t="s">
        <v>48</v>
      </c>
    </row>
    <row r="2" spans="1:13" x14ac:dyDescent="0.35">
      <c r="A2">
        <v>1</v>
      </c>
      <c r="B2">
        <v>45</v>
      </c>
      <c r="C2" t="s">
        <v>10</v>
      </c>
      <c r="D2" t="s">
        <v>11</v>
      </c>
      <c r="E2" t="s">
        <v>12</v>
      </c>
      <c r="F2">
        <v>15000</v>
      </c>
      <c r="G2">
        <v>5</v>
      </c>
      <c r="H2" t="s">
        <v>13</v>
      </c>
      <c r="I2" t="s">
        <v>14</v>
      </c>
      <c r="J2">
        <v>4</v>
      </c>
      <c r="K2" s="1" t="str">
        <f>IF(B2&lt;30,"18-29",IF(B2&lt;45,"30-44",IF(B2&lt;60,"45-59",IF(B2&lt;75,"60-74","75+"))))</f>
        <v>45-59</v>
      </c>
      <c r="L2" s="1" t="str">
        <f>IF(F2&lt;=1000,"Low",IF(F2&lt;=8000,"Medium","High"))</f>
        <v>High</v>
      </c>
      <c r="M2" s="1" t="str">
        <f>IF(J2&gt;=4,"Yes","No")</f>
        <v>Yes</v>
      </c>
    </row>
    <row r="3" spans="1:13" x14ac:dyDescent="0.35">
      <c r="A3">
        <v>2</v>
      </c>
      <c r="B3">
        <v>60</v>
      </c>
      <c r="C3" t="s">
        <v>15</v>
      </c>
      <c r="D3" t="s">
        <v>16</v>
      </c>
      <c r="E3" t="s">
        <v>17</v>
      </c>
      <c r="F3">
        <v>2000</v>
      </c>
      <c r="G3">
        <v>3</v>
      </c>
      <c r="H3" t="s">
        <v>18</v>
      </c>
      <c r="I3" t="s">
        <v>19</v>
      </c>
      <c r="J3">
        <v>3</v>
      </c>
      <c r="K3" s="1" t="str">
        <f t="shared" ref="K3:K66" si="0">IF(B3&lt;30,"18-29",IF(B3&lt;45,"30-44",IF(B3&lt;60,"45-59",IF(B3&lt;75,"60-74","75+"))))</f>
        <v>60-74</v>
      </c>
      <c r="L3" s="1" t="str">
        <f t="shared" ref="L3:L66" si="1">IF(F3&lt;=1000,"Low",IF(F3&lt;=8000,"Medium","High"))</f>
        <v>Medium</v>
      </c>
      <c r="M3" s="1" t="str">
        <f t="shared" ref="M3:M66" si="2">IF(J3&gt;=4,"Yes","No")</f>
        <v>No</v>
      </c>
    </row>
    <row r="4" spans="1:13" x14ac:dyDescent="0.35">
      <c r="A4">
        <v>3</v>
      </c>
      <c r="B4">
        <v>32</v>
      </c>
      <c r="C4" t="s">
        <v>10</v>
      </c>
      <c r="D4" t="s">
        <v>20</v>
      </c>
      <c r="E4" t="s">
        <v>21</v>
      </c>
      <c r="F4">
        <v>500</v>
      </c>
      <c r="G4">
        <v>1</v>
      </c>
      <c r="H4" t="s">
        <v>13</v>
      </c>
      <c r="I4" t="s">
        <v>14</v>
      </c>
      <c r="J4">
        <v>5</v>
      </c>
      <c r="K4" s="1" t="str">
        <f t="shared" si="0"/>
        <v>30-44</v>
      </c>
      <c r="L4" s="1" t="str">
        <f t="shared" si="1"/>
        <v>Low</v>
      </c>
      <c r="M4" s="1" t="str">
        <f t="shared" si="2"/>
        <v>Yes</v>
      </c>
    </row>
    <row r="5" spans="1:13" x14ac:dyDescent="0.35">
      <c r="A5">
        <v>4</v>
      </c>
      <c r="B5">
        <v>75</v>
      </c>
      <c r="C5" t="s">
        <v>15</v>
      </c>
      <c r="D5" t="s">
        <v>22</v>
      </c>
      <c r="E5" t="s">
        <v>23</v>
      </c>
      <c r="F5">
        <v>10000</v>
      </c>
      <c r="G5">
        <v>7</v>
      </c>
      <c r="H5" t="s">
        <v>18</v>
      </c>
      <c r="I5" t="s">
        <v>19</v>
      </c>
      <c r="J5">
        <v>2</v>
      </c>
      <c r="K5" s="1" t="str">
        <f t="shared" si="0"/>
        <v>75+</v>
      </c>
      <c r="L5" s="1" t="str">
        <f t="shared" si="1"/>
        <v>High</v>
      </c>
      <c r="M5" s="1" t="str">
        <f t="shared" si="2"/>
        <v>No</v>
      </c>
    </row>
    <row r="6" spans="1:13" x14ac:dyDescent="0.35">
      <c r="A6">
        <v>5</v>
      </c>
      <c r="B6">
        <v>50</v>
      </c>
      <c r="C6" t="s">
        <v>10</v>
      </c>
      <c r="D6" t="s">
        <v>24</v>
      </c>
      <c r="E6" t="s">
        <v>25</v>
      </c>
      <c r="F6">
        <v>25000</v>
      </c>
      <c r="G6">
        <v>10</v>
      </c>
      <c r="H6" t="s">
        <v>13</v>
      </c>
      <c r="I6" t="s">
        <v>14</v>
      </c>
      <c r="J6">
        <v>4</v>
      </c>
      <c r="K6" s="1" t="str">
        <f t="shared" si="0"/>
        <v>45-59</v>
      </c>
      <c r="L6" s="1" t="str">
        <f t="shared" si="1"/>
        <v>High</v>
      </c>
      <c r="M6" s="1" t="str">
        <f t="shared" si="2"/>
        <v>Yes</v>
      </c>
    </row>
    <row r="7" spans="1:13" x14ac:dyDescent="0.35">
      <c r="A7">
        <v>6</v>
      </c>
      <c r="B7">
        <v>68</v>
      </c>
      <c r="C7" t="s">
        <v>15</v>
      </c>
      <c r="D7" t="s">
        <v>26</v>
      </c>
      <c r="E7" t="s">
        <v>27</v>
      </c>
      <c r="F7">
        <v>1000</v>
      </c>
      <c r="G7">
        <v>2</v>
      </c>
      <c r="H7" t="s">
        <v>13</v>
      </c>
      <c r="I7" t="s">
        <v>19</v>
      </c>
      <c r="J7">
        <v>4</v>
      </c>
      <c r="K7" s="1" t="str">
        <f t="shared" si="0"/>
        <v>60-74</v>
      </c>
      <c r="L7" s="1" t="str">
        <f t="shared" si="1"/>
        <v>Low</v>
      </c>
      <c r="M7" s="1" t="str">
        <f t="shared" si="2"/>
        <v>Yes</v>
      </c>
    </row>
    <row r="8" spans="1:13" x14ac:dyDescent="0.35">
      <c r="A8">
        <v>7</v>
      </c>
      <c r="B8">
        <v>55</v>
      </c>
      <c r="C8" t="s">
        <v>10</v>
      </c>
      <c r="D8" t="s">
        <v>28</v>
      </c>
      <c r="E8" t="s">
        <v>29</v>
      </c>
      <c r="F8">
        <v>8000</v>
      </c>
      <c r="G8">
        <v>4</v>
      </c>
      <c r="H8" t="s">
        <v>13</v>
      </c>
      <c r="I8" t="s">
        <v>14</v>
      </c>
      <c r="J8">
        <v>3</v>
      </c>
      <c r="K8" s="1" t="str">
        <f t="shared" si="0"/>
        <v>45-59</v>
      </c>
      <c r="L8" s="1" t="str">
        <f t="shared" si="1"/>
        <v>Medium</v>
      </c>
      <c r="M8" s="1" t="str">
        <f t="shared" si="2"/>
        <v>No</v>
      </c>
    </row>
    <row r="9" spans="1:13" x14ac:dyDescent="0.35">
      <c r="A9">
        <v>8</v>
      </c>
      <c r="B9">
        <v>40</v>
      </c>
      <c r="C9" t="s">
        <v>15</v>
      </c>
      <c r="D9" t="s">
        <v>30</v>
      </c>
      <c r="E9" t="s">
        <v>31</v>
      </c>
      <c r="F9">
        <v>3000</v>
      </c>
      <c r="G9">
        <v>6</v>
      </c>
      <c r="H9" t="s">
        <v>13</v>
      </c>
      <c r="I9" t="s">
        <v>14</v>
      </c>
      <c r="J9">
        <v>4</v>
      </c>
      <c r="K9" s="1" t="str">
        <f t="shared" si="0"/>
        <v>30-44</v>
      </c>
      <c r="L9" s="1" t="str">
        <f t="shared" si="1"/>
        <v>Medium</v>
      </c>
      <c r="M9" s="1" t="str">
        <f t="shared" si="2"/>
        <v>Yes</v>
      </c>
    </row>
    <row r="10" spans="1:13" x14ac:dyDescent="0.35">
      <c r="A10">
        <v>9</v>
      </c>
      <c r="B10">
        <v>70</v>
      </c>
      <c r="C10" t="s">
        <v>10</v>
      </c>
      <c r="D10" t="s">
        <v>32</v>
      </c>
      <c r="E10" t="s">
        <v>33</v>
      </c>
      <c r="F10">
        <v>18000</v>
      </c>
      <c r="G10">
        <v>8</v>
      </c>
      <c r="H10" t="s">
        <v>18</v>
      </c>
      <c r="I10" t="s">
        <v>19</v>
      </c>
      <c r="J10">
        <v>2</v>
      </c>
      <c r="K10" s="1" t="str">
        <f t="shared" si="0"/>
        <v>60-74</v>
      </c>
      <c r="L10" s="1" t="str">
        <f t="shared" si="1"/>
        <v>High</v>
      </c>
      <c r="M10" s="1" t="str">
        <f t="shared" si="2"/>
        <v>No</v>
      </c>
    </row>
    <row r="11" spans="1:13" x14ac:dyDescent="0.35">
      <c r="A11">
        <v>10</v>
      </c>
      <c r="B11">
        <v>25</v>
      </c>
      <c r="C11" t="s">
        <v>15</v>
      </c>
      <c r="D11" t="s">
        <v>34</v>
      </c>
      <c r="E11" t="s">
        <v>35</v>
      </c>
      <c r="F11">
        <v>100</v>
      </c>
      <c r="G11">
        <v>1</v>
      </c>
      <c r="H11" t="s">
        <v>13</v>
      </c>
      <c r="I11" t="s">
        <v>14</v>
      </c>
      <c r="J11">
        <v>5</v>
      </c>
      <c r="K11" s="1" t="str">
        <f t="shared" si="0"/>
        <v>18-29</v>
      </c>
      <c r="L11" s="1" t="str">
        <f t="shared" si="1"/>
        <v>Low</v>
      </c>
      <c r="M11" s="1" t="str">
        <f t="shared" si="2"/>
        <v>Yes</v>
      </c>
    </row>
    <row r="12" spans="1:13" x14ac:dyDescent="0.35">
      <c r="A12">
        <v>11</v>
      </c>
      <c r="B12">
        <v>48</v>
      </c>
      <c r="C12" t="s">
        <v>10</v>
      </c>
      <c r="D12" t="s">
        <v>36</v>
      </c>
      <c r="E12" t="s">
        <v>37</v>
      </c>
      <c r="F12">
        <v>800</v>
      </c>
      <c r="G12">
        <v>2</v>
      </c>
      <c r="H12" t="s">
        <v>13</v>
      </c>
      <c r="I12" t="s">
        <v>19</v>
      </c>
      <c r="J12">
        <v>4</v>
      </c>
      <c r="K12" s="1" t="str">
        <f t="shared" si="0"/>
        <v>45-59</v>
      </c>
      <c r="L12" s="1" t="str">
        <f t="shared" si="1"/>
        <v>Low</v>
      </c>
      <c r="M12" s="1" t="str">
        <f t="shared" si="2"/>
        <v>Yes</v>
      </c>
    </row>
    <row r="13" spans="1:13" x14ac:dyDescent="0.35">
      <c r="A13">
        <v>12</v>
      </c>
      <c r="B13">
        <v>65</v>
      </c>
      <c r="C13" t="s">
        <v>15</v>
      </c>
      <c r="D13" t="s">
        <v>38</v>
      </c>
      <c r="E13" t="s">
        <v>39</v>
      </c>
      <c r="F13">
        <v>20000</v>
      </c>
      <c r="G13">
        <v>9</v>
      </c>
      <c r="H13" t="s">
        <v>13</v>
      </c>
      <c r="I13" t="s">
        <v>14</v>
      </c>
      <c r="J13">
        <v>3</v>
      </c>
      <c r="K13" s="1" t="str">
        <f t="shared" si="0"/>
        <v>60-74</v>
      </c>
      <c r="L13" s="1" t="str">
        <f t="shared" si="1"/>
        <v>High</v>
      </c>
      <c r="M13" s="1" t="str">
        <f t="shared" si="2"/>
        <v>No</v>
      </c>
    </row>
    <row r="14" spans="1:13" x14ac:dyDescent="0.35">
      <c r="A14">
        <v>13</v>
      </c>
      <c r="B14">
        <v>30</v>
      </c>
      <c r="C14" t="s">
        <v>10</v>
      </c>
      <c r="D14" t="s">
        <v>40</v>
      </c>
      <c r="E14" t="s">
        <v>41</v>
      </c>
      <c r="F14">
        <v>12000</v>
      </c>
      <c r="G14">
        <v>3</v>
      </c>
      <c r="H14" t="s">
        <v>13</v>
      </c>
      <c r="I14" t="s">
        <v>14</v>
      </c>
      <c r="J14">
        <v>4</v>
      </c>
      <c r="K14" s="1" t="str">
        <f t="shared" si="0"/>
        <v>30-44</v>
      </c>
      <c r="L14" s="1" t="str">
        <f t="shared" si="1"/>
        <v>High</v>
      </c>
      <c r="M14" s="1" t="str">
        <f t="shared" si="2"/>
        <v>Yes</v>
      </c>
    </row>
    <row r="15" spans="1:13" x14ac:dyDescent="0.35">
      <c r="A15">
        <v>14</v>
      </c>
      <c r="B15">
        <v>52</v>
      </c>
      <c r="C15" t="s">
        <v>15</v>
      </c>
      <c r="D15" t="s">
        <v>42</v>
      </c>
      <c r="E15" t="s">
        <v>43</v>
      </c>
      <c r="F15">
        <v>6000</v>
      </c>
      <c r="G15">
        <v>4</v>
      </c>
      <c r="H15" t="s">
        <v>13</v>
      </c>
      <c r="I15" t="s">
        <v>14</v>
      </c>
      <c r="J15">
        <v>3</v>
      </c>
      <c r="K15" s="1" t="str">
        <f t="shared" si="0"/>
        <v>45-59</v>
      </c>
      <c r="L15" s="1" t="str">
        <f t="shared" si="1"/>
        <v>Medium</v>
      </c>
      <c r="M15" s="1" t="str">
        <f t="shared" si="2"/>
        <v>No</v>
      </c>
    </row>
    <row r="16" spans="1:13" x14ac:dyDescent="0.35">
      <c r="A16">
        <v>15</v>
      </c>
      <c r="B16">
        <v>58</v>
      </c>
      <c r="C16" t="s">
        <v>10</v>
      </c>
      <c r="D16" t="s">
        <v>44</v>
      </c>
      <c r="E16" t="s">
        <v>45</v>
      </c>
      <c r="F16">
        <v>4000</v>
      </c>
      <c r="G16">
        <v>5</v>
      </c>
      <c r="H16" t="s">
        <v>13</v>
      </c>
      <c r="I16" t="s">
        <v>19</v>
      </c>
      <c r="J16">
        <v>4</v>
      </c>
      <c r="K16" s="1" t="str">
        <f t="shared" si="0"/>
        <v>45-59</v>
      </c>
      <c r="L16" s="1" t="str">
        <f t="shared" si="1"/>
        <v>Medium</v>
      </c>
      <c r="M16" s="1" t="str">
        <f t="shared" si="2"/>
        <v>Yes</v>
      </c>
    </row>
    <row r="17" spans="1:13" x14ac:dyDescent="0.35">
      <c r="A17">
        <v>16</v>
      </c>
      <c r="B17">
        <v>55</v>
      </c>
      <c r="C17" t="s">
        <v>10</v>
      </c>
      <c r="D17" t="s">
        <v>11</v>
      </c>
      <c r="E17" t="s">
        <v>12</v>
      </c>
      <c r="F17">
        <v>15000</v>
      </c>
      <c r="G17">
        <v>6</v>
      </c>
      <c r="H17" t="s">
        <v>18</v>
      </c>
      <c r="I17" t="s">
        <v>14</v>
      </c>
      <c r="J17">
        <v>3</v>
      </c>
      <c r="K17" s="1" t="str">
        <f t="shared" si="0"/>
        <v>45-59</v>
      </c>
      <c r="L17" s="1" t="str">
        <f t="shared" si="1"/>
        <v>High</v>
      </c>
      <c r="M17" s="1" t="str">
        <f t="shared" si="2"/>
        <v>No</v>
      </c>
    </row>
    <row r="18" spans="1:13" x14ac:dyDescent="0.35">
      <c r="A18">
        <v>17</v>
      </c>
      <c r="B18">
        <v>62</v>
      </c>
      <c r="C18" t="s">
        <v>15</v>
      </c>
      <c r="D18" t="s">
        <v>16</v>
      </c>
      <c r="E18" t="s">
        <v>17</v>
      </c>
      <c r="F18">
        <v>2000</v>
      </c>
      <c r="G18">
        <v>4</v>
      </c>
      <c r="H18" t="s">
        <v>13</v>
      </c>
      <c r="I18" t="s">
        <v>19</v>
      </c>
      <c r="J18">
        <v>4</v>
      </c>
      <c r="K18" s="1" t="str">
        <f t="shared" si="0"/>
        <v>60-74</v>
      </c>
      <c r="L18" s="1" t="str">
        <f t="shared" si="1"/>
        <v>Medium</v>
      </c>
      <c r="M18" s="1" t="str">
        <f t="shared" si="2"/>
        <v>Yes</v>
      </c>
    </row>
    <row r="19" spans="1:13" x14ac:dyDescent="0.35">
      <c r="A19">
        <v>18</v>
      </c>
      <c r="B19">
        <v>35</v>
      </c>
      <c r="C19" t="s">
        <v>10</v>
      </c>
      <c r="D19" t="s">
        <v>20</v>
      </c>
      <c r="E19" t="s">
        <v>21</v>
      </c>
      <c r="F19">
        <v>500</v>
      </c>
      <c r="G19">
        <v>2</v>
      </c>
      <c r="H19" t="s">
        <v>18</v>
      </c>
      <c r="I19" t="s">
        <v>14</v>
      </c>
      <c r="J19">
        <v>5</v>
      </c>
      <c r="K19" s="1" t="str">
        <f t="shared" si="0"/>
        <v>30-44</v>
      </c>
      <c r="L19" s="1" t="str">
        <f t="shared" si="1"/>
        <v>Low</v>
      </c>
      <c r="M19" s="1" t="str">
        <f t="shared" si="2"/>
        <v>Yes</v>
      </c>
    </row>
    <row r="20" spans="1:13" x14ac:dyDescent="0.35">
      <c r="A20">
        <v>19</v>
      </c>
      <c r="B20">
        <v>78</v>
      </c>
      <c r="C20" t="s">
        <v>15</v>
      </c>
      <c r="D20" t="s">
        <v>22</v>
      </c>
      <c r="E20" t="s">
        <v>23</v>
      </c>
      <c r="F20">
        <v>10000</v>
      </c>
      <c r="G20">
        <v>8</v>
      </c>
      <c r="H20" t="s">
        <v>13</v>
      </c>
      <c r="I20" t="s">
        <v>19</v>
      </c>
      <c r="J20">
        <v>2</v>
      </c>
      <c r="K20" s="1" t="str">
        <f t="shared" si="0"/>
        <v>75+</v>
      </c>
      <c r="L20" s="1" t="str">
        <f t="shared" si="1"/>
        <v>High</v>
      </c>
      <c r="M20" s="1" t="str">
        <f t="shared" si="2"/>
        <v>No</v>
      </c>
    </row>
    <row r="21" spans="1:13" x14ac:dyDescent="0.35">
      <c r="A21">
        <v>20</v>
      </c>
      <c r="B21">
        <v>53</v>
      </c>
      <c r="C21" t="s">
        <v>10</v>
      </c>
      <c r="D21" t="s">
        <v>24</v>
      </c>
      <c r="E21" t="s">
        <v>25</v>
      </c>
      <c r="F21">
        <v>25000</v>
      </c>
      <c r="G21">
        <v>11</v>
      </c>
      <c r="H21" t="s">
        <v>18</v>
      </c>
      <c r="I21" t="s">
        <v>14</v>
      </c>
      <c r="J21">
        <v>4</v>
      </c>
      <c r="K21" s="1" t="str">
        <f t="shared" si="0"/>
        <v>45-59</v>
      </c>
      <c r="L21" s="1" t="str">
        <f t="shared" si="1"/>
        <v>High</v>
      </c>
      <c r="M21" s="1" t="str">
        <f t="shared" si="2"/>
        <v>Yes</v>
      </c>
    </row>
    <row r="22" spans="1:13" x14ac:dyDescent="0.35">
      <c r="A22">
        <v>21</v>
      </c>
      <c r="B22">
        <v>72</v>
      </c>
      <c r="C22" t="s">
        <v>15</v>
      </c>
      <c r="D22" t="s">
        <v>26</v>
      </c>
      <c r="E22" t="s">
        <v>27</v>
      </c>
      <c r="F22">
        <v>1000</v>
      </c>
      <c r="G22">
        <v>3</v>
      </c>
      <c r="H22" t="s">
        <v>13</v>
      </c>
      <c r="I22" t="s">
        <v>19</v>
      </c>
      <c r="J22">
        <v>4</v>
      </c>
      <c r="K22" s="1" t="str">
        <f t="shared" si="0"/>
        <v>60-74</v>
      </c>
      <c r="L22" s="1" t="str">
        <f t="shared" si="1"/>
        <v>Low</v>
      </c>
      <c r="M22" s="1" t="str">
        <f t="shared" si="2"/>
        <v>Yes</v>
      </c>
    </row>
    <row r="23" spans="1:13" x14ac:dyDescent="0.35">
      <c r="A23">
        <v>22</v>
      </c>
      <c r="B23">
        <v>60</v>
      </c>
      <c r="C23" t="s">
        <v>10</v>
      </c>
      <c r="D23" t="s">
        <v>28</v>
      </c>
      <c r="E23" t="s">
        <v>29</v>
      </c>
      <c r="F23">
        <v>8000</v>
      </c>
      <c r="G23">
        <v>5</v>
      </c>
      <c r="H23" t="s">
        <v>18</v>
      </c>
      <c r="I23" t="s">
        <v>14</v>
      </c>
      <c r="J23">
        <v>3</v>
      </c>
      <c r="K23" s="1" t="str">
        <f t="shared" si="0"/>
        <v>60-74</v>
      </c>
      <c r="L23" s="1" t="str">
        <f t="shared" si="1"/>
        <v>Medium</v>
      </c>
      <c r="M23" s="1" t="str">
        <f t="shared" si="2"/>
        <v>No</v>
      </c>
    </row>
    <row r="24" spans="1:13" x14ac:dyDescent="0.35">
      <c r="A24">
        <v>23</v>
      </c>
      <c r="B24">
        <v>45</v>
      </c>
      <c r="C24" t="s">
        <v>15</v>
      </c>
      <c r="D24" t="s">
        <v>30</v>
      </c>
      <c r="E24" t="s">
        <v>31</v>
      </c>
      <c r="F24">
        <v>3000</v>
      </c>
      <c r="G24">
        <v>7</v>
      </c>
      <c r="H24" t="s">
        <v>13</v>
      </c>
      <c r="I24" t="s">
        <v>14</v>
      </c>
      <c r="J24">
        <v>4</v>
      </c>
      <c r="K24" s="1" t="str">
        <f t="shared" si="0"/>
        <v>45-59</v>
      </c>
      <c r="L24" s="1" t="str">
        <f t="shared" si="1"/>
        <v>Medium</v>
      </c>
      <c r="M24" s="1" t="str">
        <f t="shared" si="2"/>
        <v>Yes</v>
      </c>
    </row>
    <row r="25" spans="1:13" x14ac:dyDescent="0.35">
      <c r="A25">
        <v>24</v>
      </c>
      <c r="B25">
        <v>75</v>
      </c>
      <c r="C25" t="s">
        <v>10</v>
      </c>
      <c r="D25" t="s">
        <v>32</v>
      </c>
      <c r="E25" t="s">
        <v>33</v>
      </c>
      <c r="F25">
        <v>18000</v>
      </c>
      <c r="G25">
        <v>9</v>
      </c>
      <c r="H25" t="s">
        <v>18</v>
      </c>
      <c r="I25" t="s">
        <v>19</v>
      </c>
      <c r="J25">
        <v>2</v>
      </c>
      <c r="K25" s="1" t="str">
        <f t="shared" si="0"/>
        <v>75+</v>
      </c>
      <c r="L25" s="1" t="str">
        <f t="shared" si="1"/>
        <v>High</v>
      </c>
      <c r="M25" s="1" t="str">
        <f t="shared" si="2"/>
        <v>No</v>
      </c>
    </row>
    <row r="26" spans="1:13" x14ac:dyDescent="0.35">
      <c r="A26">
        <v>25</v>
      </c>
      <c r="B26">
        <v>28</v>
      </c>
      <c r="C26" t="s">
        <v>15</v>
      </c>
      <c r="D26" t="s">
        <v>34</v>
      </c>
      <c r="E26" t="s">
        <v>35</v>
      </c>
      <c r="F26">
        <v>100</v>
      </c>
      <c r="G26">
        <v>2</v>
      </c>
      <c r="H26" t="s">
        <v>13</v>
      </c>
      <c r="I26" t="s">
        <v>14</v>
      </c>
      <c r="J26">
        <v>5</v>
      </c>
      <c r="K26" s="1" t="str">
        <f t="shared" si="0"/>
        <v>18-29</v>
      </c>
      <c r="L26" s="1" t="str">
        <f t="shared" si="1"/>
        <v>Low</v>
      </c>
      <c r="M26" s="1" t="str">
        <f t="shared" si="2"/>
        <v>Yes</v>
      </c>
    </row>
    <row r="27" spans="1:13" x14ac:dyDescent="0.35">
      <c r="A27">
        <v>26</v>
      </c>
      <c r="B27">
        <v>52</v>
      </c>
      <c r="C27" t="s">
        <v>10</v>
      </c>
      <c r="D27" t="s">
        <v>36</v>
      </c>
      <c r="E27" t="s">
        <v>37</v>
      </c>
      <c r="F27">
        <v>800</v>
      </c>
      <c r="G27">
        <v>3</v>
      </c>
      <c r="H27" t="s">
        <v>13</v>
      </c>
      <c r="I27" t="s">
        <v>19</v>
      </c>
      <c r="J27">
        <v>4</v>
      </c>
      <c r="K27" s="1" t="str">
        <f t="shared" si="0"/>
        <v>45-59</v>
      </c>
      <c r="L27" s="1" t="str">
        <f t="shared" si="1"/>
        <v>Low</v>
      </c>
      <c r="M27" s="1" t="str">
        <f t="shared" si="2"/>
        <v>Yes</v>
      </c>
    </row>
    <row r="28" spans="1:13" x14ac:dyDescent="0.35">
      <c r="A28">
        <v>27</v>
      </c>
      <c r="B28">
        <v>67</v>
      </c>
      <c r="C28" t="s">
        <v>15</v>
      </c>
      <c r="D28" t="s">
        <v>38</v>
      </c>
      <c r="E28" t="s">
        <v>39</v>
      </c>
      <c r="F28">
        <v>20000</v>
      </c>
      <c r="G28">
        <v>10</v>
      </c>
      <c r="H28" t="s">
        <v>13</v>
      </c>
      <c r="I28" t="s">
        <v>14</v>
      </c>
      <c r="J28">
        <v>3</v>
      </c>
      <c r="K28" s="1" t="str">
        <f t="shared" si="0"/>
        <v>60-74</v>
      </c>
      <c r="L28" s="1" t="str">
        <f t="shared" si="1"/>
        <v>High</v>
      </c>
      <c r="M28" s="1" t="str">
        <f t="shared" si="2"/>
        <v>No</v>
      </c>
    </row>
    <row r="29" spans="1:13" x14ac:dyDescent="0.35">
      <c r="A29">
        <v>28</v>
      </c>
      <c r="B29">
        <v>35</v>
      </c>
      <c r="C29" t="s">
        <v>10</v>
      </c>
      <c r="D29" t="s">
        <v>40</v>
      </c>
      <c r="E29" t="s">
        <v>41</v>
      </c>
      <c r="F29">
        <v>12000</v>
      </c>
      <c r="G29">
        <v>4</v>
      </c>
      <c r="H29" t="s">
        <v>13</v>
      </c>
      <c r="I29" t="s">
        <v>14</v>
      </c>
      <c r="J29">
        <v>4</v>
      </c>
      <c r="K29" s="1" t="str">
        <f t="shared" si="0"/>
        <v>30-44</v>
      </c>
      <c r="L29" s="1" t="str">
        <f t="shared" si="1"/>
        <v>High</v>
      </c>
      <c r="M29" s="1" t="str">
        <f t="shared" si="2"/>
        <v>Yes</v>
      </c>
    </row>
    <row r="30" spans="1:13" x14ac:dyDescent="0.35">
      <c r="A30">
        <v>29</v>
      </c>
      <c r="B30">
        <v>50</v>
      </c>
      <c r="C30" t="s">
        <v>15</v>
      </c>
      <c r="D30" t="s">
        <v>42</v>
      </c>
      <c r="E30" t="s">
        <v>43</v>
      </c>
      <c r="F30">
        <v>6000</v>
      </c>
      <c r="G30">
        <v>5</v>
      </c>
      <c r="H30" t="s">
        <v>13</v>
      </c>
      <c r="I30" t="s">
        <v>14</v>
      </c>
      <c r="J30">
        <v>3</v>
      </c>
      <c r="K30" s="1" t="str">
        <f t="shared" si="0"/>
        <v>45-59</v>
      </c>
      <c r="L30" s="1" t="str">
        <f t="shared" si="1"/>
        <v>Medium</v>
      </c>
      <c r="M30" s="1" t="str">
        <f t="shared" si="2"/>
        <v>No</v>
      </c>
    </row>
    <row r="31" spans="1:13" x14ac:dyDescent="0.35">
      <c r="A31">
        <v>30</v>
      </c>
      <c r="B31">
        <v>60</v>
      </c>
      <c r="C31" t="s">
        <v>10</v>
      </c>
      <c r="D31" t="s">
        <v>44</v>
      </c>
      <c r="E31" t="s">
        <v>45</v>
      </c>
      <c r="F31">
        <v>4000</v>
      </c>
      <c r="G31">
        <v>6</v>
      </c>
      <c r="H31" t="s">
        <v>13</v>
      </c>
      <c r="I31" t="s">
        <v>19</v>
      </c>
      <c r="J31">
        <v>4</v>
      </c>
      <c r="K31" s="1" t="str">
        <f t="shared" si="0"/>
        <v>60-74</v>
      </c>
      <c r="L31" s="1" t="str">
        <f t="shared" si="1"/>
        <v>Medium</v>
      </c>
      <c r="M31" s="1" t="str">
        <f t="shared" si="2"/>
        <v>Yes</v>
      </c>
    </row>
    <row r="32" spans="1:13" x14ac:dyDescent="0.35">
      <c r="A32">
        <v>31</v>
      </c>
      <c r="B32">
        <v>48</v>
      </c>
      <c r="C32" t="s">
        <v>10</v>
      </c>
      <c r="D32" t="s">
        <v>11</v>
      </c>
      <c r="E32" t="s">
        <v>12</v>
      </c>
      <c r="F32">
        <v>15000</v>
      </c>
      <c r="G32">
        <v>7</v>
      </c>
      <c r="H32" t="s">
        <v>18</v>
      </c>
      <c r="I32" t="s">
        <v>14</v>
      </c>
      <c r="J32">
        <v>4</v>
      </c>
      <c r="K32" s="1" t="str">
        <f t="shared" si="0"/>
        <v>45-59</v>
      </c>
      <c r="L32" s="1" t="str">
        <f t="shared" si="1"/>
        <v>High</v>
      </c>
      <c r="M32" s="1" t="str">
        <f t="shared" si="2"/>
        <v>Yes</v>
      </c>
    </row>
    <row r="33" spans="1:13" x14ac:dyDescent="0.35">
      <c r="A33">
        <v>32</v>
      </c>
      <c r="B33">
        <v>65</v>
      </c>
      <c r="C33" t="s">
        <v>15</v>
      </c>
      <c r="D33" t="s">
        <v>16</v>
      </c>
      <c r="E33" t="s">
        <v>17</v>
      </c>
      <c r="F33">
        <v>2000</v>
      </c>
      <c r="G33">
        <v>5</v>
      </c>
      <c r="H33" t="s">
        <v>13</v>
      </c>
      <c r="I33" t="s">
        <v>19</v>
      </c>
      <c r="J33">
        <v>3</v>
      </c>
      <c r="K33" s="1" t="str">
        <f t="shared" si="0"/>
        <v>60-74</v>
      </c>
      <c r="L33" s="1" t="str">
        <f t="shared" si="1"/>
        <v>Medium</v>
      </c>
      <c r="M33" s="1" t="str">
        <f t="shared" si="2"/>
        <v>No</v>
      </c>
    </row>
    <row r="34" spans="1:13" x14ac:dyDescent="0.35">
      <c r="A34">
        <v>33</v>
      </c>
      <c r="B34">
        <v>30</v>
      </c>
      <c r="C34" t="s">
        <v>10</v>
      </c>
      <c r="D34" t="s">
        <v>20</v>
      </c>
      <c r="E34" t="s">
        <v>21</v>
      </c>
      <c r="F34">
        <v>500</v>
      </c>
      <c r="G34">
        <v>3</v>
      </c>
      <c r="H34" t="s">
        <v>13</v>
      </c>
      <c r="I34" t="s">
        <v>14</v>
      </c>
      <c r="J34">
        <v>5</v>
      </c>
      <c r="K34" s="1" t="str">
        <f t="shared" si="0"/>
        <v>30-44</v>
      </c>
      <c r="L34" s="1" t="str">
        <f t="shared" si="1"/>
        <v>Low</v>
      </c>
      <c r="M34" s="1" t="str">
        <f t="shared" si="2"/>
        <v>Yes</v>
      </c>
    </row>
    <row r="35" spans="1:13" x14ac:dyDescent="0.35">
      <c r="A35">
        <v>34</v>
      </c>
      <c r="B35">
        <v>70</v>
      </c>
      <c r="C35" t="s">
        <v>15</v>
      </c>
      <c r="D35" t="s">
        <v>22</v>
      </c>
      <c r="E35" t="s">
        <v>23</v>
      </c>
      <c r="F35">
        <v>10000</v>
      </c>
      <c r="G35">
        <v>9</v>
      </c>
      <c r="H35" t="s">
        <v>18</v>
      </c>
      <c r="I35" t="s">
        <v>19</v>
      </c>
      <c r="J35">
        <v>2</v>
      </c>
      <c r="K35" s="1" t="str">
        <f t="shared" si="0"/>
        <v>60-74</v>
      </c>
      <c r="L35" s="1" t="str">
        <f t="shared" si="1"/>
        <v>High</v>
      </c>
      <c r="M35" s="1" t="str">
        <f t="shared" si="2"/>
        <v>No</v>
      </c>
    </row>
    <row r="36" spans="1:13" x14ac:dyDescent="0.35">
      <c r="A36">
        <v>35</v>
      </c>
      <c r="B36">
        <v>55</v>
      </c>
      <c r="C36" t="s">
        <v>10</v>
      </c>
      <c r="D36" t="s">
        <v>24</v>
      </c>
      <c r="E36" t="s">
        <v>25</v>
      </c>
      <c r="F36">
        <v>25000</v>
      </c>
      <c r="G36">
        <v>12</v>
      </c>
      <c r="H36" t="s">
        <v>13</v>
      </c>
      <c r="I36" t="s">
        <v>14</v>
      </c>
      <c r="J36">
        <v>4</v>
      </c>
      <c r="K36" s="1" t="str">
        <f t="shared" si="0"/>
        <v>45-59</v>
      </c>
      <c r="L36" s="1" t="str">
        <f t="shared" si="1"/>
        <v>High</v>
      </c>
      <c r="M36" s="1" t="str">
        <f t="shared" si="2"/>
        <v>Yes</v>
      </c>
    </row>
    <row r="37" spans="1:13" x14ac:dyDescent="0.35">
      <c r="A37">
        <v>36</v>
      </c>
      <c r="B37">
        <v>68</v>
      </c>
      <c r="C37" t="s">
        <v>15</v>
      </c>
      <c r="D37" t="s">
        <v>26</v>
      </c>
      <c r="E37" t="s">
        <v>27</v>
      </c>
      <c r="F37">
        <v>1000</v>
      </c>
      <c r="G37">
        <v>4</v>
      </c>
      <c r="H37" t="s">
        <v>13</v>
      </c>
      <c r="I37" t="s">
        <v>19</v>
      </c>
      <c r="J37">
        <v>4</v>
      </c>
      <c r="K37" s="1" t="str">
        <f t="shared" si="0"/>
        <v>60-74</v>
      </c>
      <c r="L37" s="1" t="str">
        <f t="shared" si="1"/>
        <v>Low</v>
      </c>
      <c r="M37" s="1" t="str">
        <f t="shared" si="2"/>
        <v>Yes</v>
      </c>
    </row>
    <row r="38" spans="1:13" x14ac:dyDescent="0.35">
      <c r="A38">
        <v>37</v>
      </c>
      <c r="B38">
        <v>45</v>
      </c>
      <c r="C38" t="s">
        <v>10</v>
      </c>
      <c r="D38" t="s">
        <v>28</v>
      </c>
      <c r="E38" t="s">
        <v>29</v>
      </c>
      <c r="F38">
        <v>8000</v>
      </c>
      <c r="G38">
        <v>6</v>
      </c>
      <c r="H38" t="s">
        <v>13</v>
      </c>
      <c r="I38" t="s">
        <v>14</v>
      </c>
      <c r="J38">
        <v>3</v>
      </c>
      <c r="K38" s="1" t="str">
        <f t="shared" si="0"/>
        <v>45-59</v>
      </c>
      <c r="L38" s="1" t="str">
        <f t="shared" si="1"/>
        <v>Medium</v>
      </c>
      <c r="M38" s="1" t="str">
        <f t="shared" si="2"/>
        <v>No</v>
      </c>
    </row>
    <row r="39" spans="1:13" x14ac:dyDescent="0.35">
      <c r="A39">
        <v>38</v>
      </c>
      <c r="B39">
        <v>40</v>
      </c>
      <c r="C39" t="s">
        <v>15</v>
      </c>
      <c r="D39" t="s">
        <v>30</v>
      </c>
      <c r="E39" t="s">
        <v>31</v>
      </c>
      <c r="F39">
        <v>3000</v>
      </c>
      <c r="G39">
        <v>8</v>
      </c>
      <c r="H39" t="s">
        <v>13</v>
      </c>
      <c r="I39" t="s">
        <v>14</v>
      </c>
      <c r="J39">
        <v>4</v>
      </c>
      <c r="K39" s="1" t="str">
        <f t="shared" si="0"/>
        <v>30-44</v>
      </c>
      <c r="L39" s="1" t="str">
        <f t="shared" si="1"/>
        <v>Medium</v>
      </c>
      <c r="M39" s="1" t="str">
        <f t="shared" si="2"/>
        <v>Yes</v>
      </c>
    </row>
    <row r="40" spans="1:13" x14ac:dyDescent="0.35">
      <c r="A40">
        <v>39</v>
      </c>
      <c r="B40">
        <v>78</v>
      </c>
      <c r="C40" t="s">
        <v>10</v>
      </c>
      <c r="D40" t="s">
        <v>32</v>
      </c>
      <c r="E40" t="s">
        <v>33</v>
      </c>
      <c r="F40">
        <v>18000</v>
      </c>
      <c r="G40">
        <v>10</v>
      </c>
      <c r="H40" t="s">
        <v>18</v>
      </c>
      <c r="I40" t="s">
        <v>19</v>
      </c>
      <c r="J40">
        <v>2</v>
      </c>
      <c r="K40" s="1" t="str">
        <f t="shared" si="0"/>
        <v>75+</v>
      </c>
      <c r="L40" s="1" t="str">
        <f t="shared" si="1"/>
        <v>High</v>
      </c>
      <c r="M40" s="1" t="str">
        <f t="shared" si="2"/>
        <v>No</v>
      </c>
    </row>
    <row r="41" spans="1:13" x14ac:dyDescent="0.35">
      <c r="A41">
        <v>40</v>
      </c>
      <c r="B41">
        <v>25</v>
      </c>
      <c r="C41" t="s">
        <v>15</v>
      </c>
      <c r="D41" t="s">
        <v>34</v>
      </c>
      <c r="E41" t="s">
        <v>35</v>
      </c>
      <c r="F41">
        <v>100</v>
      </c>
      <c r="G41">
        <v>3</v>
      </c>
      <c r="H41" t="s">
        <v>13</v>
      </c>
      <c r="I41" t="s">
        <v>14</v>
      </c>
      <c r="J41">
        <v>5</v>
      </c>
      <c r="K41" s="1" t="str">
        <f t="shared" si="0"/>
        <v>18-29</v>
      </c>
      <c r="L41" s="1" t="str">
        <f t="shared" si="1"/>
        <v>Low</v>
      </c>
      <c r="M41" s="1" t="str">
        <f t="shared" si="2"/>
        <v>Yes</v>
      </c>
    </row>
    <row r="42" spans="1:13" x14ac:dyDescent="0.35">
      <c r="A42">
        <v>41</v>
      </c>
      <c r="B42">
        <v>52</v>
      </c>
      <c r="C42" t="s">
        <v>10</v>
      </c>
      <c r="D42" t="s">
        <v>36</v>
      </c>
      <c r="E42" t="s">
        <v>37</v>
      </c>
      <c r="F42">
        <v>800</v>
      </c>
      <c r="G42">
        <v>4</v>
      </c>
      <c r="H42" t="s">
        <v>13</v>
      </c>
      <c r="I42" t="s">
        <v>19</v>
      </c>
      <c r="J42">
        <v>4</v>
      </c>
      <c r="K42" s="1" t="str">
        <f t="shared" si="0"/>
        <v>45-59</v>
      </c>
      <c r="L42" s="1" t="str">
        <f t="shared" si="1"/>
        <v>Low</v>
      </c>
      <c r="M42" s="1" t="str">
        <f t="shared" si="2"/>
        <v>Yes</v>
      </c>
    </row>
    <row r="43" spans="1:13" x14ac:dyDescent="0.35">
      <c r="A43">
        <v>42</v>
      </c>
      <c r="B43">
        <v>58</v>
      </c>
      <c r="C43" t="s">
        <v>15</v>
      </c>
      <c r="D43" t="s">
        <v>38</v>
      </c>
      <c r="E43" t="s">
        <v>39</v>
      </c>
      <c r="F43">
        <v>20000</v>
      </c>
      <c r="G43">
        <v>11</v>
      </c>
      <c r="H43" t="s">
        <v>13</v>
      </c>
      <c r="I43" t="s">
        <v>14</v>
      </c>
      <c r="J43">
        <v>3</v>
      </c>
      <c r="K43" s="1" t="str">
        <f t="shared" si="0"/>
        <v>45-59</v>
      </c>
      <c r="L43" s="1" t="str">
        <f t="shared" si="1"/>
        <v>High</v>
      </c>
      <c r="M43" s="1" t="str">
        <f t="shared" si="2"/>
        <v>No</v>
      </c>
    </row>
    <row r="44" spans="1:13" x14ac:dyDescent="0.35">
      <c r="A44">
        <v>43</v>
      </c>
      <c r="B44">
        <v>32</v>
      </c>
      <c r="C44" t="s">
        <v>10</v>
      </c>
      <c r="D44" t="s">
        <v>40</v>
      </c>
      <c r="E44" t="s">
        <v>41</v>
      </c>
      <c r="F44">
        <v>12000</v>
      </c>
      <c r="G44">
        <v>5</v>
      </c>
      <c r="H44" t="s">
        <v>13</v>
      </c>
      <c r="I44" t="s">
        <v>14</v>
      </c>
      <c r="J44">
        <v>4</v>
      </c>
      <c r="K44" s="1" t="str">
        <f t="shared" si="0"/>
        <v>30-44</v>
      </c>
      <c r="L44" s="1" t="str">
        <f t="shared" si="1"/>
        <v>High</v>
      </c>
      <c r="M44" s="1" t="str">
        <f t="shared" si="2"/>
        <v>Yes</v>
      </c>
    </row>
    <row r="45" spans="1:13" x14ac:dyDescent="0.35">
      <c r="A45">
        <v>44</v>
      </c>
      <c r="B45">
        <v>55</v>
      </c>
      <c r="C45" t="s">
        <v>15</v>
      </c>
      <c r="D45" t="s">
        <v>42</v>
      </c>
      <c r="E45" t="s">
        <v>43</v>
      </c>
      <c r="F45">
        <v>6000</v>
      </c>
      <c r="G45">
        <v>6</v>
      </c>
      <c r="H45" t="s">
        <v>13</v>
      </c>
      <c r="I45" t="s">
        <v>14</v>
      </c>
      <c r="J45">
        <v>3</v>
      </c>
      <c r="K45" s="1" t="str">
        <f t="shared" si="0"/>
        <v>45-59</v>
      </c>
      <c r="L45" s="1" t="str">
        <f t="shared" si="1"/>
        <v>Medium</v>
      </c>
      <c r="M45" s="1" t="str">
        <f t="shared" si="2"/>
        <v>No</v>
      </c>
    </row>
    <row r="46" spans="1:13" x14ac:dyDescent="0.35">
      <c r="A46">
        <v>45</v>
      </c>
      <c r="B46">
        <v>65</v>
      </c>
      <c r="C46" t="s">
        <v>10</v>
      </c>
      <c r="D46" t="s">
        <v>44</v>
      </c>
      <c r="E46" t="s">
        <v>45</v>
      </c>
      <c r="F46">
        <v>4000</v>
      </c>
      <c r="G46">
        <v>7</v>
      </c>
      <c r="H46" t="s">
        <v>13</v>
      </c>
      <c r="I46" t="s">
        <v>19</v>
      </c>
      <c r="J46">
        <v>4</v>
      </c>
      <c r="K46" s="1" t="str">
        <f t="shared" si="0"/>
        <v>60-74</v>
      </c>
      <c r="L46" s="1" t="str">
        <f t="shared" si="1"/>
        <v>Medium</v>
      </c>
      <c r="M46" s="1" t="str">
        <f t="shared" si="2"/>
        <v>Yes</v>
      </c>
    </row>
    <row r="47" spans="1:13" x14ac:dyDescent="0.35">
      <c r="A47">
        <v>46</v>
      </c>
      <c r="B47">
        <v>55</v>
      </c>
      <c r="C47" t="s">
        <v>10</v>
      </c>
      <c r="D47" t="s">
        <v>11</v>
      </c>
      <c r="E47" t="s">
        <v>12</v>
      </c>
      <c r="F47">
        <v>15000</v>
      </c>
      <c r="G47">
        <v>8</v>
      </c>
      <c r="H47" t="s">
        <v>18</v>
      </c>
      <c r="I47" t="s">
        <v>14</v>
      </c>
      <c r="J47">
        <v>3</v>
      </c>
      <c r="K47" s="1" t="str">
        <f t="shared" si="0"/>
        <v>45-59</v>
      </c>
      <c r="L47" s="1" t="str">
        <f t="shared" si="1"/>
        <v>High</v>
      </c>
      <c r="M47" s="1" t="str">
        <f t="shared" si="2"/>
        <v>No</v>
      </c>
    </row>
    <row r="48" spans="1:13" x14ac:dyDescent="0.35">
      <c r="A48">
        <v>47</v>
      </c>
      <c r="B48">
        <v>62</v>
      </c>
      <c r="C48" t="s">
        <v>15</v>
      </c>
      <c r="D48" t="s">
        <v>16</v>
      </c>
      <c r="E48" t="s">
        <v>17</v>
      </c>
      <c r="F48">
        <v>2000</v>
      </c>
      <c r="G48">
        <v>6</v>
      </c>
      <c r="H48" t="s">
        <v>13</v>
      </c>
      <c r="I48" t="s">
        <v>19</v>
      </c>
      <c r="J48">
        <v>4</v>
      </c>
      <c r="K48" s="1" t="str">
        <f t="shared" si="0"/>
        <v>60-74</v>
      </c>
      <c r="L48" s="1" t="str">
        <f t="shared" si="1"/>
        <v>Medium</v>
      </c>
      <c r="M48" s="1" t="str">
        <f t="shared" si="2"/>
        <v>Yes</v>
      </c>
    </row>
    <row r="49" spans="1:13" x14ac:dyDescent="0.35">
      <c r="A49">
        <v>48</v>
      </c>
      <c r="B49">
        <v>35</v>
      </c>
      <c r="C49" t="s">
        <v>10</v>
      </c>
      <c r="D49" t="s">
        <v>20</v>
      </c>
      <c r="E49" t="s">
        <v>21</v>
      </c>
      <c r="F49">
        <v>500</v>
      </c>
      <c r="G49">
        <v>4</v>
      </c>
      <c r="H49" t="s">
        <v>18</v>
      </c>
      <c r="I49" t="s">
        <v>14</v>
      </c>
      <c r="J49">
        <v>5</v>
      </c>
      <c r="K49" s="1" t="str">
        <f t="shared" si="0"/>
        <v>30-44</v>
      </c>
      <c r="L49" s="1" t="str">
        <f t="shared" si="1"/>
        <v>Low</v>
      </c>
      <c r="M49" s="1" t="str">
        <f t="shared" si="2"/>
        <v>Yes</v>
      </c>
    </row>
    <row r="50" spans="1:13" x14ac:dyDescent="0.35">
      <c r="A50">
        <v>49</v>
      </c>
      <c r="B50">
        <v>78</v>
      </c>
      <c r="C50" t="s">
        <v>15</v>
      </c>
      <c r="D50" t="s">
        <v>22</v>
      </c>
      <c r="E50" t="s">
        <v>23</v>
      </c>
      <c r="F50">
        <v>10000</v>
      </c>
      <c r="G50">
        <v>10</v>
      </c>
      <c r="H50" t="s">
        <v>13</v>
      </c>
      <c r="I50" t="s">
        <v>19</v>
      </c>
      <c r="J50">
        <v>2</v>
      </c>
      <c r="K50" s="1" t="str">
        <f t="shared" si="0"/>
        <v>75+</v>
      </c>
      <c r="L50" s="1" t="str">
        <f t="shared" si="1"/>
        <v>High</v>
      </c>
      <c r="M50" s="1" t="str">
        <f t="shared" si="2"/>
        <v>No</v>
      </c>
    </row>
    <row r="51" spans="1:13" x14ac:dyDescent="0.35">
      <c r="A51">
        <v>50</v>
      </c>
      <c r="B51">
        <v>53</v>
      </c>
      <c r="C51" t="s">
        <v>10</v>
      </c>
      <c r="D51" t="s">
        <v>24</v>
      </c>
      <c r="E51" t="s">
        <v>25</v>
      </c>
      <c r="F51">
        <v>25000</v>
      </c>
      <c r="G51">
        <v>13</v>
      </c>
      <c r="H51" t="s">
        <v>18</v>
      </c>
      <c r="I51" t="s">
        <v>14</v>
      </c>
      <c r="J51">
        <v>4</v>
      </c>
      <c r="K51" s="1" t="str">
        <f t="shared" si="0"/>
        <v>45-59</v>
      </c>
      <c r="L51" s="1" t="str">
        <f t="shared" si="1"/>
        <v>High</v>
      </c>
      <c r="M51" s="1" t="str">
        <f t="shared" si="2"/>
        <v>Yes</v>
      </c>
    </row>
    <row r="52" spans="1:13" x14ac:dyDescent="0.35">
      <c r="A52">
        <v>51</v>
      </c>
      <c r="B52">
        <v>72</v>
      </c>
      <c r="C52" t="s">
        <v>15</v>
      </c>
      <c r="D52" t="s">
        <v>26</v>
      </c>
      <c r="E52" t="s">
        <v>27</v>
      </c>
      <c r="F52">
        <v>1000</v>
      </c>
      <c r="G52">
        <v>5</v>
      </c>
      <c r="H52" t="s">
        <v>13</v>
      </c>
      <c r="I52" t="s">
        <v>19</v>
      </c>
      <c r="J52">
        <v>4</v>
      </c>
      <c r="K52" s="1" t="str">
        <f t="shared" si="0"/>
        <v>60-74</v>
      </c>
      <c r="L52" s="1" t="str">
        <f t="shared" si="1"/>
        <v>Low</v>
      </c>
      <c r="M52" s="1" t="str">
        <f t="shared" si="2"/>
        <v>Yes</v>
      </c>
    </row>
    <row r="53" spans="1:13" x14ac:dyDescent="0.35">
      <c r="A53">
        <v>52</v>
      </c>
      <c r="B53">
        <v>60</v>
      </c>
      <c r="C53" t="s">
        <v>10</v>
      </c>
      <c r="D53" t="s">
        <v>28</v>
      </c>
      <c r="E53" t="s">
        <v>29</v>
      </c>
      <c r="F53">
        <v>8000</v>
      </c>
      <c r="G53">
        <v>7</v>
      </c>
      <c r="H53" t="s">
        <v>18</v>
      </c>
      <c r="I53" t="s">
        <v>14</v>
      </c>
      <c r="J53">
        <v>3</v>
      </c>
      <c r="K53" s="1" t="str">
        <f t="shared" si="0"/>
        <v>60-74</v>
      </c>
      <c r="L53" s="1" t="str">
        <f t="shared" si="1"/>
        <v>Medium</v>
      </c>
      <c r="M53" s="1" t="str">
        <f t="shared" si="2"/>
        <v>No</v>
      </c>
    </row>
    <row r="54" spans="1:13" x14ac:dyDescent="0.35">
      <c r="A54">
        <v>53</v>
      </c>
      <c r="B54">
        <v>45</v>
      </c>
      <c r="C54" t="s">
        <v>15</v>
      </c>
      <c r="D54" t="s">
        <v>30</v>
      </c>
      <c r="E54" t="s">
        <v>31</v>
      </c>
      <c r="F54">
        <v>3000</v>
      </c>
      <c r="G54">
        <v>9</v>
      </c>
      <c r="H54" t="s">
        <v>13</v>
      </c>
      <c r="I54" t="s">
        <v>14</v>
      </c>
      <c r="J54">
        <v>4</v>
      </c>
      <c r="K54" s="1" t="str">
        <f t="shared" si="0"/>
        <v>45-59</v>
      </c>
      <c r="L54" s="1" t="str">
        <f t="shared" si="1"/>
        <v>Medium</v>
      </c>
      <c r="M54" s="1" t="str">
        <f t="shared" si="2"/>
        <v>Yes</v>
      </c>
    </row>
    <row r="55" spans="1:13" x14ac:dyDescent="0.35">
      <c r="A55">
        <v>54</v>
      </c>
      <c r="B55">
        <v>75</v>
      </c>
      <c r="C55" t="s">
        <v>10</v>
      </c>
      <c r="D55" t="s">
        <v>32</v>
      </c>
      <c r="E55" t="s">
        <v>33</v>
      </c>
      <c r="F55">
        <v>18000</v>
      </c>
      <c r="G55">
        <v>11</v>
      </c>
      <c r="H55" t="s">
        <v>18</v>
      </c>
      <c r="I55" t="s">
        <v>19</v>
      </c>
      <c r="J55">
        <v>2</v>
      </c>
      <c r="K55" s="1" t="str">
        <f t="shared" si="0"/>
        <v>75+</v>
      </c>
      <c r="L55" s="1" t="str">
        <f t="shared" si="1"/>
        <v>High</v>
      </c>
      <c r="M55" s="1" t="str">
        <f t="shared" si="2"/>
        <v>No</v>
      </c>
    </row>
    <row r="56" spans="1:13" x14ac:dyDescent="0.35">
      <c r="A56">
        <v>55</v>
      </c>
      <c r="B56">
        <v>28</v>
      </c>
      <c r="C56" t="s">
        <v>15</v>
      </c>
      <c r="D56" t="s">
        <v>34</v>
      </c>
      <c r="E56" t="s">
        <v>35</v>
      </c>
      <c r="F56">
        <v>100</v>
      </c>
      <c r="G56">
        <v>4</v>
      </c>
      <c r="H56" t="s">
        <v>13</v>
      </c>
      <c r="I56" t="s">
        <v>14</v>
      </c>
      <c r="J56">
        <v>5</v>
      </c>
      <c r="K56" s="1" t="str">
        <f t="shared" si="0"/>
        <v>18-29</v>
      </c>
      <c r="L56" s="1" t="str">
        <f t="shared" si="1"/>
        <v>Low</v>
      </c>
      <c r="M56" s="1" t="str">
        <f t="shared" si="2"/>
        <v>Yes</v>
      </c>
    </row>
    <row r="57" spans="1:13" x14ac:dyDescent="0.35">
      <c r="A57">
        <v>56</v>
      </c>
      <c r="B57">
        <v>52</v>
      </c>
      <c r="C57" t="s">
        <v>10</v>
      </c>
      <c r="D57" t="s">
        <v>36</v>
      </c>
      <c r="E57" t="s">
        <v>37</v>
      </c>
      <c r="F57">
        <v>800</v>
      </c>
      <c r="G57">
        <v>5</v>
      </c>
      <c r="H57" t="s">
        <v>13</v>
      </c>
      <c r="I57" t="s">
        <v>19</v>
      </c>
      <c r="J57">
        <v>4</v>
      </c>
      <c r="K57" s="1" t="str">
        <f t="shared" si="0"/>
        <v>45-59</v>
      </c>
      <c r="L57" s="1" t="str">
        <f t="shared" si="1"/>
        <v>Low</v>
      </c>
      <c r="M57" s="1" t="str">
        <f t="shared" si="2"/>
        <v>Yes</v>
      </c>
    </row>
    <row r="58" spans="1:13" x14ac:dyDescent="0.35">
      <c r="A58">
        <v>57</v>
      </c>
      <c r="B58">
        <v>67</v>
      </c>
      <c r="C58" t="s">
        <v>15</v>
      </c>
      <c r="D58" t="s">
        <v>38</v>
      </c>
      <c r="E58" t="s">
        <v>39</v>
      </c>
      <c r="F58">
        <v>20000</v>
      </c>
      <c r="G58">
        <v>12</v>
      </c>
      <c r="H58" t="s">
        <v>13</v>
      </c>
      <c r="I58" t="s">
        <v>14</v>
      </c>
      <c r="J58">
        <v>3</v>
      </c>
      <c r="K58" s="1" t="str">
        <f t="shared" si="0"/>
        <v>60-74</v>
      </c>
      <c r="L58" s="1" t="str">
        <f t="shared" si="1"/>
        <v>High</v>
      </c>
      <c r="M58" s="1" t="str">
        <f t="shared" si="2"/>
        <v>No</v>
      </c>
    </row>
    <row r="59" spans="1:13" x14ac:dyDescent="0.35">
      <c r="A59">
        <v>58</v>
      </c>
      <c r="B59">
        <v>35</v>
      </c>
      <c r="C59" t="s">
        <v>10</v>
      </c>
      <c r="D59" t="s">
        <v>40</v>
      </c>
      <c r="E59" t="s">
        <v>41</v>
      </c>
      <c r="F59">
        <v>12000</v>
      </c>
      <c r="G59">
        <v>6</v>
      </c>
      <c r="H59" t="s">
        <v>13</v>
      </c>
      <c r="I59" t="s">
        <v>14</v>
      </c>
      <c r="J59">
        <v>4</v>
      </c>
      <c r="K59" s="1" t="str">
        <f t="shared" si="0"/>
        <v>30-44</v>
      </c>
      <c r="L59" s="1" t="str">
        <f t="shared" si="1"/>
        <v>High</v>
      </c>
      <c r="M59" s="1" t="str">
        <f t="shared" si="2"/>
        <v>Yes</v>
      </c>
    </row>
    <row r="60" spans="1:13" x14ac:dyDescent="0.35">
      <c r="A60">
        <v>59</v>
      </c>
      <c r="B60">
        <v>50</v>
      </c>
      <c r="C60" t="s">
        <v>15</v>
      </c>
      <c r="D60" t="s">
        <v>42</v>
      </c>
      <c r="E60" t="s">
        <v>43</v>
      </c>
      <c r="F60">
        <v>6000</v>
      </c>
      <c r="G60">
        <v>7</v>
      </c>
      <c r="H60" t="s">
        <v>13</v>
      </c>
      <c r="I60" t="s">
        <v>14</v>
      </c>
      <c r="J60">
        <v>3</v>
      </c>
      <c r="K60" s="1" t="str">
        <f t="shared" si="0"/>
        <v>45-59</v>
      </c>
      <c r="L60" s="1" t="str">
        <f t="shared" si="1"/>
        <v>Medium</v>
      </c>
      <c r="M60" s="1" t="str">
        <f t="shared" si="2"/>
        <v>No</v>
      </c>
    </row>
    <row r="61" spans="1:13" x14ac:dyDescent="0.35">
      <c r="A61">
        <v>61</v>
      </c>
      <c r="B61">
        <v>48</v>
      </c>
      <c r="C61" t="s">
        <v>10</v>
      </c>
      <c r="D61" t="s">
        <v>11</v>
      </c>
      <c r="E61" t="s">
        <v>12</v>
      </c>
      <c r="F61">
        <v>15000</v>
      </c>
      <c r="G61">
        <v>9</v>
      </c>
      <c r="H61" t="s">
        <v>18</v>
      </c>
      <c r="I61" t="s">
        <v>14</v>
      </c>
      <c r="J61">
        <v>4</v>
      </c>
      <c r="K61" s="1" t="str">
        <f t="shared" si="0"/>
        <v>45-59</v>
      </c>
      <c r="L61" s="1" t="str">
        <f t="shared" si="1"/>
        <v>High</v>
      </c>
      <c r="M61" s="1" t="str">
        <f t="shared" si="2"/>
        <v>Yes</v>
      </c>
    </row>
    <row r="62" spans="1:13" x14ac:dyDescent="0.35">
      <c r="A62">
        <v>62</v>
      </c>
      <c r="B62">
        <v>65</v>
      </c>
      <c r="C62" t="s">
        <v>15</v>
      </c>
      <c r="D62" t="s">
        <v>16</v>
      </c>
      <c r="E62" t="s">
        <v>17</v>
      </c>
      <c r="F62">
        <v>2000</v>
      </c>
      <c r="G62">
        <v>7</v>
      </c>
      <c r="H62" t="s">
        <v>13</v>
      </c>
      <c r="I62" t="s">
        <v>19</v>
      </c>
      <c r="J62">
        <v>3</v>
      </c>
      <c r="K62" s="1" t="str">
        <f t="shared" si="0"/>
        <v>60-74</v>
      </c>
      <c r="L62" s="1" t="str">
        <f t="shared" si="1"/>
        <v>Medium</v>
      </c>
      <c r="M62" s="1" t="str">
        <f t="shared" si="2"/>
        <v>No</v>
      </c>
    </row>
    <row r="63" spans="1:13" x14ac:dyDescent="0.35">
      <c r="A63">
        <v>63</v>
      </c>
      <c r="B63">
        <v>30</v>
      </c>
      <c r="C63" t="s">
        <v>10</v>
      </c>
      <c r="D63" t="s">
        <v>20</v>
      </c>
      <c r="E63" t="s">
        <v>21</v>
      </c>
      <c r="F63">
        <v>500</v>
      </c>
      <c r="G63">
        <v>5</v>
      </c>
      <c r="H63" t="s">
        <v>13</v>
      </c>
      <c r="I63" t="s">
        <v>14</v>
      </c>
      <c r="J63">
        <v>5</v>
      </c>
      <c r="K63" s="1" t="str">
        <f t="shared" si="0"/>
        <v>30-44</v>
      </c>
      <c r="L63" s="1" t="str">
        <f t="shared" si="1"/>
        <v>Low</v>
      </c>
      <c r="M63" s="1" t="str">
        <f t="shared" si="2"/>
        <v>Yes</v>
      </c>
    </row>
    <row r="64" spans="1:13" x14ac:dyDescent="0.35">
      <c r="A64">
        <v>64</v>
      </c>
      <c r="B64">
        <v>70</v>
      </c>
      <c r="C64" t="s">
        <v>15</v>
      </c>
      <c r="D64" t="s">
        <v>22</v>
      </c>
      <c r="E64" t="s">
        <v>23</v>
      </c>
      <c r="F64">
        <v>10000</v>
      </c>
      <c r="G64">
        <v>11</v>
      </c>
      <c r="H64" t="s">
        <v>18</v>
      </c>
      <c r="I64" t="s">
        <v>19</v>
      </c>
      <c r="J64">
        <v>2</v>
      </c>
      <c r="K64" s="1" t="str">
        <f t="shared" si="0"/>
        <v>60-74</v>
      </c>
      <c r="L64" s="1" t="str">
        <f t="shared" si="1"/>
        <v>High</v>
      </c>
      <c r="M64" s="1" t="str">
        <f t="shared" si="2"/>
        <v>No</v>
      </c>
    </row>
    <row r="65" spans="1:13" x14ac:dyDescent="0.35">
      <c r="A65">
        <v>65</v>
      </c>
      <c r="B65">
        <v>55</v>
      </c>
      <c r="C65" t="s">
        <v>10</v>
      </c>
      <c r="D65" t="s">
        <v>24</v>
      </c>
      <c r="E65" t="s">
        <v>25</v>
      </c>
      <c r="F65">
        <v>25000</v>
      </c>
      <c r="G65">
        <v>14</v>
      </c>
      <c r="H65" t="s">
        <v>13</v>
      </c>
      <c r="I65" t="s">
        <v>14</v>
      </c>
      <c r="J65">
        <v>4</v>
      </c>
      <c r="K65" s="1" t="str">
        <f t="shared" si="0"/>
        <v>45-59</v>
      </c>
      <c r="L65" s="1" t="str">
        <f t="shared" si="1"/>
        <v>High</v>
      </c>
      <c r="M65" s="1" t="str">
        <f t="shared" si="2"/>
        <v>Yes</v>
      </c>
    </row>
    <row r="66" spans="1:13" x14ac:dyDescent="0.35">
      <c r="A66">
        <v>66</v>
      </c>
      <c r="B66">
        <v>68</v>
      </c>
      <c r="C66" t="s">
        <v>15</v>
      </c>
      <c r="D66" t="s">
        <v>26</v>
      </c>
      <c r="E66" t="s">
        <v>27</v>
      </c>
      <c r="F66">
        <v>1000</v>
      </c>
      <c r="G66">
        <v>6</v>
      </c>
      <c r="H66" t="s">
        <v>13</v>
      </c>
      <c r="I66" t="s">
        <v>19</v>
      </c>
      <c r="J66">
        <v>4</v>
      </c>
      <c r="K66" s="1" t="str">
        <f t="shared" si="0"/>
        <v>60-74</v>
      </c>
      <c r="L66" s="1" t="str">
        <f t="shared" si="1"/>
        <v>Low</v>
      </c>
      <c r="M66" s="1" t="str">
        <f t="shared" si="2"/>
        <v>Yes</v>
      </c>
    </row>
    <row r="67" spans="1:13" x14ac:dyDescent="0.35">
      <c r="A67">
        <v>67</v>
      </c>
      <c r="B67">
        <v>45</v>
      </c>
      <c r="C67" t="s">
        <v>10</v>
      </c>
      <c r="D67" t="s">
        <v>28</v>
      </c>
      <c r="E67" t="s">
        <v>29</v>
      </c>
      <c r="F67">
        <v>8000</v>
      </c>
      <c r="G67">
        <v>8</v>
      </c>
      <c r="H67" t="s">
        <v>13</v>
      </c>
      <c r="I67" t="s">
        <v>14</v>
      </c>
      <c r="J67">
        <v>3</v>
      </c>
      <c r="K67" s="1" t="str">
        <f t="shared" ref="K67:K130" si="3">IF(B67&lt;30,"18-29",IF(B67&lt;45,"30-44",IF(B67&lt;60,"45-59",IF(B67&lt;75,"60-74","75+"))))</f>
        <v>45-59</v>
      </c>
      <c r="L67" s="1" t="str">
        <f t="shared" ref="L67:L130" si="4">IF(F67&lt;=1000,"Low",IF(F67&lt;=8000,"Medium","High"))</f>
        <v>Medium</v>
      </c>
      <c r="M67" s="1" t="str">
        <f t="shared" ref="M67:M130" si="5">IF(J67&gt;=4,"Yes","No")</f>
        <v>No</v>
      </c>
    </row>
    <row r="68" spans="1:13" x14ac:dyDescent="0.35">
      <c r="A68">
        <v>68</v>
      </c>
      <c r="B68">
        <v>40</v>
      </c>
      <c r="C68" t="s">
        <v>15</v>
      </c>
      <c r="D68" t="s">
        <v>30</v>
      </c>
      <c r="E68" t="s">
        <v>31</v>
      </c>
      <c r="F68">
        <v>3000</v>
      </c>
      <c r="G68">
        <v>10</v>
      </c>
      <c r="H68" t="s">
        <v>13</v>
      </c>
      <c r="I68" t="s">
        <v>14</v>
      </c>
      <c r="J68">
        <v>4</v>
      </c>
      <c r="K68" s="1" t="str">
        <f t="shared" si="3"/>
        <v>30-44</v>
      </c>
      <c r="L68" s="1" t="str">
        <f t="shared" si="4"/>
        <v>Medium</v>
      </c>
      <c r="M68" s="1" t="str">
        <f t="shared" si="5"/>
        <v>Yes</v>
      </c>
    </row>
    <row r="69" spans="1:13" x14ac:dyDescent="0.35">
      <c r="A69">
        <v>69</v>
      </c>
      <c r="B69">
        <v>78</v>
      </c>
      <c r="C69" t="s">
        <v>10</v>
      </c>
      <c r="D69" t="s">
        <v>32</v>
      </c>
      <c r="E69" t="s">
        <v>33</v>
      </c>
      <c r="F69">
        <v>18000</v>
      </c>
      <c r="G69">
        <v>12</v>
      </c>
      <c r="H69" t="s">
        <v>18</v>
      </c>
      <c r="I69" t="s">
        <v>19</v>
      </c>
      <c r="J69">
        <v>2</v>
      </c>
      <c r="K69" s="1" t="str">
        <f t="shared" si="3"/>
        <v>75+</v>
      </c>
      <c r="L69" s="1" t="str">
        <f t="shared" si="4"/>
        <v>High</v>
      </c>
      <c r="M69" s="1" t="str">
        <f t="shared" si="5"/>
        <v>No</v>
      </c>
    </row>
    <row r="70" spans="1:13" x14ac:dyDescent="0.35">
      <c r="A70">
        <v>70</v>
      </c>
      <c r="B70">
        <v>25</v>
      </c>
      <c r="C70" t="s">
        <v>15</v>
      </c>
      <c r="D70" t="s">
        <v>34</v>
      </c>
      <c r="E70" t="s">
        <v>35</v>
      </c>
      <c r="F70">
        <v>100</v>
      </c>
      <c r="G70">
        <v>5</v>
      </c>
      <c r="H70" t="s">
        <v>13</v>
      </c>
      <c r="I70" t="s">
        <v>14</v>
      </c>
      <c r="J70">
        <v>5</v>
      </c>
      <c r="K70" s="1" t="str">
        <f t="shared" si="3"/>
        <v>18-29</v>
      </c>
      <c r="L70" s="1" t="str">
        <f t="shared" si="4"/>
        <v>Low</v>
      </c>
      <c r="M70" s="1" t="str">
        <f t="shared" si="5"/>
        <v>Yes</v>
      </c>
    </row>
    <row r="71" spans="1:13" x14ac:dyDescent="0.35">
      <c r="A71">
        <v>71</v>
      </c>
      <c r="B71">
        <v>52</v>
      </c>
      <c r="C71" t="s">
        <v>10</v>
      </c>
      <c r="D71" t="s">
        <v>36</v>
      </c>
      <c r="E71" t="s">
        <v>37</v>
      </c>
      <c r="F71">
        <v>800</v>
      </c>
      <c r="G71">
        <v>6</v>
      </c>
      <c r="H71" t="s">
        <v>13</v>
      </c>
      <c r="I71" t="s">
        <v>19</v>
      </c>
      <c r="J71">
        <v>4</v>
      </c>
      <c r="K71" s="1" t="str">
        <f t="shared" si="3"/>
        <v>45-59</v>
      </c>
      <c r="L71" s="1" t="str">
        <f t="shared" si="4"/>
        <v>Low</v>
      </c>
      <c r="M71" s="1" t="str">
        <f t="shared" si="5"/>
        <v>Yes</v>
      </c>
    </row>
    <row r="72" spans="1:13" x14ac:dyDescent="0.35">
      <c r="A72">
        <v>72</v>
      </c>
      <c r="B72">
        <v>58</v>
      </c>
      <c r="C72" t="s">
        <v>15</v>
      </c>
      <c r="D72" t="s">
        <v>38</v>
      </c>
      <c r="E72" t="s">
        <v>39</v>
      </c>
      <c r="F72">
        <v>20000</v>
      </c>
      <c r="G72">
        <v>13</v>
      </c>
      <c r="H72" t="s">
        <v>13</v>
      </c>
      <c r="I72" t="s">
        <v>14</v>
      </c>
      <c r="J72">
        <v>3</v>
      </c>
      <c r="K72" s="1" t="str">
        <f t="shared" si="3"/>
        <v>45-59</v>
      </c>
      <c r="L72" s="1" t="str">
        <f t="shared" si="4"/>
        <v>High</v>
      </c>
      <c r="M72" s="1" t="str">
        <f t="shared" si="5"/>
        <v>No</v>
      </c>
    </row>
    <row r="73" spans="1:13" x14ac:dyDescent="0.35">
      <c r="A73">
        <v>73</v>
      </c>
      <c r="B73">
        <v>32</v>
      </c>
      <c r="C73" t="s">
        <v>10</v>
      </c>
      <c r="D73" t="s">
        <v>40</v>
      </c>
      <c r="E73" t="s">
        <v>41</v>
      </c>
      <c r="F73">
        <v>12000</v>
      </c>
      <c r="G73">
        <v>7</v>
      </c>
      <c r="H73" t="s">
        <v>13</v>
      </c>
      <c r="I73" t="s">
        <v>14</v>
      </c>
      <c r="J73">
        <v>4</v>
      </c>
      <c r="K73" s="1" t="str">
        <f t="shared" si="3"/>
        <v>30-44</v>
      </c>
      <c r="L73" s="1" t="str">
        <f t="shared" si="4"/>
        <v>High</v>
      </c>
      <c r="M73" s="1" t="str">
        <f t="shared" si="5"/>
        <v>Yes</v>
      </c>
    </row>
    <row r="74" spans="1:13" x14ac:dyDescent="0.35">
      <c r="A74">
        <v>74</v>
      </c>
      <c r="B74">
        <v>55</v>
      </c>
      <c r="C74" t="s">
        <v>15</v>
      </c>
      <c r="D74" t="s">
        <v>42</v>
      </c>
      <c r="E74" t="s">
        <v>43</v>
      </c>
      <c r="F74">
        <v>6000</v>
      </c>
      <c r="G74">
        <v>8</v>
      </c>
      <c r="H74" t="s">
        <v>13</v>
      </c>
      <c r="I74" t="s">
        <v>14</v>
      </c>
      <c r="J74">
        <v>3</v>
      </c>
      <c r="K74" s="1" t="str">
        <f t="shared" si="3"/>
        <v>45-59</v>
      </c>
      <c r="L74" s="1" t="str">
        <f t="shared" si="4"/>
        <v>Medium</v>
      </c>
      <c r="M74" s="1" t="str">
        <f t="shared" si="5"/>
        <v>No</v>
      </c>
    </row>
    <row r="75" spans="1:13" x14ac:dyDescent="0.35">
      <c r="A75">
        <v>75</v>
      </c>
      <c r="B75">
        <v>65</v>
      </c>
      <c r="C75" t="s">
        <v>10</v>
      </c>
      <c r="D75" t="s">
        <v>44</v>
      </c>
      <c r="E75" t="s">
        <v>45</v>
      </c>
      <c r="F75">
        <v>4000</v>
      </c>
      <c r="G75">
        <v>9</v>
      </c>
      <c r="H75" t="s">
        <v>13</v>
      </c>
      <c r="I75" t="s">
        <v>19</v>
      </c>
      <c r="J75">
        <v>4</v>
      </c>
      <c r="K75" s="1" t="str">
        <f t="shared" si="3"/>
        <v>60-74</v>
      </c>
      <c r="L75" s="1" t="str">
        <f t="shared" si="4"/>
        <v>Medium</v>
      </c>
      <c r="M75" s="1" t="str">
        <f t="shared" si="5"/>
        <v>Yes</v>
      </c>
    </row>
    <row r="76" spans="1:13" x14ac:dyDescent="0.35">
      <c r="A76">
        <v>76</v>
      </c>
      <c r="B76">
        <v>55</v>
      </c>
      <c r="C76" t="s">
        <v>10</v>
      </c>
      <c r="D76" t="s">
        <v>11</v>
      </c>
      <c r="E76" t="s">
        <v>12</v>
      </c>
      <c r="F76">
        <v>15000</v>
      </c>
      <c r="G76">
        <v>10</v>
      </c>
      <c r="H76" t="s">
        <v>18</v>
      </c>
      <c r="I76" t="s">
        <v>14</v>
      </c>
      <c r="J76">
        <v>3</v>
      </c>
      <c r="K76" s="1" t="str">
        <f t="shared" si="3"/>
        <v>45-59</v>
      </c>
      <c r="L76" s="1" t="str">
        <f t="shared" si="4"/>
        <v>High</v>
      </c>
      <c r="M76" s="1" t="str">
        <f t="shared" si="5"/>
        <v>No</v>
      </c>
    </row>
    <row r="77" spans="1:13" x14ac:dyDescent="0.35">
      <c r="A77">
        <v>77</v>
      </c>
      <c r="B77">
        <v>62</v>
      </c>
      <c r="C77" t="s">
        <v>15</v>
      </c>
      <c r="D77" t="s">
        <v>16</v>
      </c>
      <c r="E77" t="s">
        <v>17</v>
      </c>
      <c r="F77">
        <v>2000</v>
      </c>
      <c r="G77">
        <v>8</v>
      </c>
      <c r="H77" t="s">
        <v>13</v>
      </c>
      <c r="I77" t="s">
        <v>19</v>
      </c>
      <c r="J77">
        <v>4</v>
      </c>
      <c r="K77" s="1" t="str">
        <f t="shared" si="3"/>
        <v>60-74</v>
      </c>
      <c r="L77" s="1" t="str">
        <f t="shared" si="4"/>
        <v>Medium</v>
      </c>
      <c r="M77" s="1" t="str">
        <f t="shared" si="5"/>
        <v>Yes</v>
      </c>
    </row>
    <row r="78" spans="1:13" x14ac:dyDescent="0.35">
      <c r="A78">
        <v>78</v>
      </c>
      <c r="B78">
        <v>35</v>
      </c>
      <c r="C78" t="s">
        <v>10</v>
      </c>
      <c r="D78" t="s">
        <v>20</v>
      </c>
      <c r="E78" t="s">
        <v>21</v>
      </c>
      <c r="F78">
        <v>500</v>
      </c>
      <c r="G78">
        <v>6</v>
      </c>
      <c r="H78" t="s">
        <v>18</v>
      </c>
      <c r="I78" t="s">
        <v>14</v>
      </c>
      <c r="J78">
        <v>5</v>
      </c>
      <c r="K78" s="1" t="str">
        <f t="shared" si="3"/>
        <v>30-44</v>
      </c>
      <c r="L78" s="1" t="str">
        <f t="shared" si="4"/>
        <v>Low</v>
      </c>
      <c r="M78" s="1" t="str">
        <f t="shared" si="5"/>
        <v>Yes</v>
      </c>
    </row>
    <row r="79" spans="1:13" x14ac:dyDescent="0.35">
      <c r="A79">
        <v>79</v>
      </c>
      <c r="B79">
        <v>78</v>
      </c>
      <c r="C79" t="s">
        <v>15</v>
      </c>
      <c r="D79" t="s">
        <v>22</v>
      </c>
      <c r="E79" t="s">
        <v>23</v>
      </c>
      <c r="F79">
        <v>10000</v>
      </c>
      <c r="G79">
        <v>12</v>
      </c>
      <c r="H79" t="s">
        <v>13</v>
      </c>
      <c r="I79" t="s">
        <v>19</v>
      </c>
      <c r="J79">
        <v>2</v>
      </c>
      <c r="K79" s="1" t="str">
        <f t="shared" si="3"/>
        <v>75+</v>
      </c>
      <c r="L79" s="1" t="str">
        <f t="shared" si="4"/>
        <v>High</v>
      </c>
      <c r="M79" s="1" t="str">
        <f t="shared" si="5"/>
        <v>No</v>
      </c>
    </row>
    <row r="80" spans="1:13" x14ac:dyDescent="0.35">
      <c r="A80">
        <v>80</v>
      </c>
      <c r="B80">
        <v>53</v>
      </c>
      <c r="C80" t="s">
        <v>10</v>
      </c>
      <c r="D80" t="s">
        <v>24</v>
      </c>
      <c r="E80" t="s">
        <v>25</v>
      </c>
      <c r="F80">
        <v>25000</v>
      </c>
      <c r="G80">
        <v>15</v>
      </c>
      <c r="H80" t="s">
        <v>18</v>
      </c>
      <c r="I80" t="s">
        <v>14</v>
      </c>
      <c r="J80">
        <v>4</v>
      </c>
      <c r="K80" s="1" t="str">
        <f t="shared" si="3"/>
        <v>45-59</v>
      </c>
      <c r="L80" s="1" t="str">
        <f t="shared" si="4"/>
        <v>High</v>
      </c>
      <c r="M80" s="1" t="str">
        <f t="shared" si="5"/>
        <v>Yes</v>
      </c>
    </row>
    <row r="81" spans="1:13" x14ac:dyDescent="0.35">
      <c r="A81">
        <v>81</v>
      </c>
      <c r="B81">
        <v>72</v>
      </c>
      <c r="C81" t="s">
        <v>15</v>
      </c>
      <c r="D81" t="s">
        <v>26</v>
      </c>
      <c r="E81" t="s">
        <v>27</v>
      </c>
      <c r="F81">
        <v>1000</v>
      </c>
      <c r="G81">
        <v>7</v>
      </c>
      <c r="H81" t="s">
        <v>13</v>
      </c>
      <c r="I81" t="s">
        <v>19</v>
      </c>
      <c r="J81">
        <v>4</v>
      </c>
      <c r="K81" s="1" t="str">
        <f t="shared" si="3"/>
        <v>60-74</v>
      </c>
      <c r="L81" s="1" t="str">
        <f t="shared" si="4"/>
        <v>Low</v>
      </c>
      <c r="M81" s="1" t="str">
        <f t="shared" si="5"/>
        <v>Yes</v>
      </c>
    </row>
    <row r="82" spans="1:13" x14ac:dyDescent="0.35">
      <c r="A82">
        <v>82</v>
      </c>
      <c r="B82">
        <v>60</v>
      </c>
      <c r="C82" t="s">
        <v>10</v>
      </c>
      <c r="D82" t="s">
        <v>28</v>
      </c>
      <c r="E82" t="s">
        <v>29</v>
      </c>
      <c r="F82">
        <v>8000</v>
      </c>
      <c r="G82">
        <v>9</v>
      </c>
      <c r="H82" t="s">
        <v>18</v>
      </c>
      <c r="I82" t="s">
        <v>14</v>
      </c>
      <c r="J82">
        <v>3</v>
      </c>
      <c r="K82" s="1" t="str">
        <f t="shared" si="3"/>
        <v>60-74</v>
      </c>
      <c r="L82" s="1" t="str">
        <f t="shared" si="4"/>
        <v>Medium</v>
      </c>
      <c r="M82" s="1" t="str">
        <f t="shared" si="5"/>
        <v>No</v>
      </c>
    </row>
    <row r="83" spans="1:13" x14ac:dyDescent="0.35">
      <c r="A83">
        <v>83</v>
      </c>
      <c r="B83">
        <v>45</v>
      </c>
      <c r="C83" t="s">
        <v>15</v>
      </c>
      <c r="D83" t="s">
        <v>30</v>
      </c>
      <c r="E83" t="s">
        <v>31</v>
      </c>
      <c r="F83">
        <v>3000</v>
      </c>
      <c r="G83">
        <v>11</v>
      </c>
      <c r="H83" t="s">
        <v>13</v>
      </c>
      <c r="I83" t="s">
        <v>14</v>
      </c>
      <c r="J83">
        <v>4</v>
      </c>
      <c r="K83" s="1" t="str">
        <f t="shared" si="3"/>
        <v>45-59</v>
      </c>
      <c r="L83" s="1" t="str">
        <f t="shared" si="4"/>
        <v>Medium</v>
      </c>
      <c r="M83" s="1" t="str">
        <f t="shared" si="5"/>
        <v>Yes</v>
      </c>
    </row>
    <row r="84" spans="1:13" x14ac:dyDescent="0.35">
      <c r="A84">
        <v>84</v>
      </c>
      <c r="B84">
        <v>75</v>
      </c>
      <c r="C84" t="s">
        <v>10</v>
      </c>
      <c r="D84" t="s">
        <v>32</v>
      </c>
      <c r="E84" t="s">
        <v>33</v>
      </c>
      <c r="F84">
        <v>18000</v>
      </c>
      <c r="G84">
        <v>13</v>
      </c>
      <c r="H84" t="s">
        <v>18</v>
      </c>
      <c r="I84" t="s">
        <v>19</v>
      </c>
      <c r="J84">
        <v>2</v>
      </c>
      <c r="K84" s="1" t="str">
        <f t="shared" si="3"/>
        <v>75+</v>
      </c>
      <c r="L84" s="1" t="str">
        <f t="shared" si="4"/>
        <v>High</v>
      </c>
      <c r="M84" s="1" t="str">
        <f t="shared" si="5"/>
        <v>No</v>
      </c>
    </row>
    <row r="85" spans="1:13" x14ac:dyDescent="0.35">
      <c r="A85">
        <v>85</v>
      </c>
      <c r="B85">
        <v>28</v>
      </c>
      <c r="C85" t="s">
        <v>15</v>
      </c>
      <c r="D85" t="s">
        <v>34</v>
      </c>
      <c r="E85" t="s">
        <v>35</v>
      </c>
      <c r="F85">
        <v>100</v>
      </c>
      <c r="G85">
        <v>6</v>
      </c>
      <c r="H85" t="s">
        <v>13</v>
      </c>
      <c r="I85" t="s">
        <v>14</v>
      </c>
      <c r="J85">
        <v>5</v>
      </c>
      <c r="K85" s="1" t="str">
        <f t="shared" si="3"/>
        <v>18-29</v>
      </c>
      <c r="L85" s="1" t="str">
        <f t="shared" si="4"/>
        <v>Low</v>
      </c>
      <c r="M85" s="1" t="str">
        <f t="shared" si="5"/>
        <v>Yes</v>
      </c>
    </row>
    <row r="86" spans="1:13" x14ac:dyDescent="0.35">
      <c r="A86">
        <v>86</v>
      </c>
      <c r="B86">
        <v>52</v>
      </c>
      <c r="C86" t="s">
        <v>10</v>
      </c>
      <c r="D86" t="s">
        <v>36</v>
      </c>
      <c r="E86" t="s">
        <v>37</v>
      </c>
      <c r="F86">
        <v>800</v>
      </c>
      <c r="G86">
        <v>7</v>
      </c>
      <c r="H86" t="s">
        <v>13</v>
      </c>
      <c r="I86" t="s">
        <v>19</v>
      </c>
      <c r="J86">
        <v>4</v>
      </c>
      <c r="K86" s="1" t="str">
        <f t="shared" si="3"/>
        <v>45-59</v>
      </c>
      <c r="L86" s="1" t="str">
        <f t="shared" si="4"/>
        <v>Low</v>
      </c>
      <c r="M86" s="1" t="str">
        <f t="shared" si="5"/>
        <v>Yes</v>
      </c>
    </row>
    <row r="87" spans="1:13" x14ac:dyDescent="0.35">
      <c r="A87">
        <v>87</v>
      </c>
      <c r="B87">
        <v>67</v>
      </c>
      <c r="C87" t="s">
        <v>15</v>
      </c>
      <c r="D87" t="s">
        <v>38</v>
      </c>
      <c r="E87" t="s">
        <v>39</v>
      </c>
      <c r="F87">
        <v>20000</v>
      </c>
      <c r="G87">
        <v>14</v>
      </c>
      <c r="H87" t="s">
        <v>13</v>
      </c>
      <c r="I87" t="s">
        <v>14</v>
      </c>
      <c r="J87">
        <v>3</v>
      </c>
      <c r="K87" s="1" t="str">
        <f t="shared" si="3"/>
        <v>60-74</v>
      </c>
      <c r="L87" s="1" t="str">
        <f t="shared" si="4"/>
        <v>High</v>
      </c>
      <c r="M87" s="1" t="str">
        <f t="shared" si="5"/>
        <v>No</v>
      </c>
    </row>
    <row r="88" spans="1:13" x14ac:dyDescent="0.35">
      <c r="A88">
        <v>88</v>
      </c>
      <c r="B88">
        <v>35</v>
      </c>
      <c r="C88" t="s">
        <v>10</v>
      </c>
      <c r="D88" t="s">
        <v>40</v>
      </c>
      <c r="E88" t="s">
        <v>41</v>
      </c>
      <c r="F88">
        <v>12000</v>
      </c>
      <c r="G88">
        <v>8</v>
      </c>
      <c r="H88" t="s">
        <v>13</v>
      </c>
      <c r="I88" t="s">
        <v>14</v>
      </c>
      <c r="J88">
        <v>4</v>
      </c>
      <c r="K88" s="1" t="str">
        <f t="shared" si="3"/>
        <v>30-44</v>
      </c>
      <c r="L88" s="1" t="str">
        <f t="shared" si="4"/>
        <v>High</v>
      </c>
      <c r="M88" s="1" t="str">
        <f t="shared" si="5"/>
        <v>Yes</v>
      </c>
    </row>
    <row r="89" spans="1:13" x14ac:dyDescent="0.35">
      <c r="A89">
        <v>89</v>
      </c>
      <c r="B89">
        <v>50</v>
      </c>
      <c r="C89" t="s">
        <v>15</v>
      </c>
      <c r="D89" t="s">
        <v>42</v>
      </c>
      <c r="E89" t="s">
        <v>43</v>
      </c>
      <c r="F89">
        <v>6000</v>
      </c>
      <c r="G89">
        <v>9</v>
      </c>
      <c r="H89" t="s">
        <v>13</v>
      </c>
      <c r="I89" t="s">
        <v>14</v>
      </c>
      <c r="J89">
        <v>3</v>
      </c>
      <c r="K89" s="1" t="str">
        <f t="shared" si="3"/>
        <v>45-59</v>
      </c>
      <c r="L89" s="1" t="str">
        <f t="shared" si="4"/>
        <v>Medium</v>
      </c>
      <c r="M89" s="1" t="str">
        <f t="shared" si="5"/>
        <v>No</v>
      </c>
    </row>
    <row r="90" spans="1:13" x14ac:dyDescent="0.35">
      <c r="A90">
        <v>90</v>
      </c>
      <c r="B90">
        <v>60</v>
      </c>
      <c r="C90" t="s">
        <v>10</v>
      </c>
      <c r="D90" t="s">
        <v>44</v>
      </c>
      <c r="E90" t="s">
        <v>45</v>
      </c>
      <c r="F90">
        <v>4000</v>
      </c>
      <c r="G90">
        <v>10</v>
      </c>
      <c r="H90" t="s">
        <v>13</v>
      </c>
      <c r="I90" t="s">
        <v>19</v>
      </c>
      <c r="J90">
        <v>4</v>
      </c>
      <c r="K90" s="1" t="str">
        <f t="shared" si="3"/>
        <v>60-74</v>
      </c>
      <c r="L90" s="1" t="str">
        <f t="shared" si="4"/>
        <v>Medium</v>
      </c>
      <c r="M90" s="1" t="str">
        <f t="shared" si="5"/>
        <v>Yes</v>
      </c>
    </row>
    <row r="91" spans="1:13" x14ac:dyDescent="0.35">
      <c r="A91">
        <v>91</v>
      </c>
      <c r="B91">
        <v>48</v>
      </c>
      <c r="C91" t="s">
        <v>10</v>
      </c>
      <c r="D91" t="s">
        <v>11</v>
      </c>
      <c r="E91" t="s">
        <v>12</v>
      </c>
      <c r="F91">
        <v>15000</v>
      </c>
      <c r="G91">
        <v>11</v>
      </c>
      <c r="H91" t="s">
        <v>18</v>
      </c>
      <c r="I91" t="s">
        <v>14</v>
      </c>
      <c r="J91">
        <v>4</v>
      </c>
      <c r="K91" s="1" t="str">
        <f t="shared" si="3"/>
        <v>45-59</v>
      </c>
      <c r="L91" s="1" t="str">
        <f t="shared" si="4"/>
        <v>High</v>
      </c>
      <c r="M91" s="1" t="str">
        <f t="shared" si="5"/>
        <v>Yes</v>
      </c>
    </row>
    <row r="92" spans="1:13" x14ac:dyDescent="0.35">
      <c r="A92">
        <v>92</v>
      </c>
      <c r="B92">
        <v>65</v>
      </c>
      <c r="C92" t="s">
        <v>15</v>
      </c>
      <c r="D92" t="s">
        <v>16</v>
      </c>
      <c r="E92" t="s">
        <v>17</v>
      </c>
      <c r="F92">
        <v>2000</v>
      </c>
      <c r="G92">
        <v>9</v>
      </c>
      <c r="H92" t="s">
        <v>13</v>
      </c>
      <c r="I92" t="s">
        <v>19</v>
      </c>
      <c r="J92">
        <v>3</v>
      </c>
      <c r="K92" s="1" t="str">
        <f t="shared" si="3"/>
        <v>60-74</v>
      </c>
      <c r="L92" s="1" t="str">
        <f t="shared" si="4"/>
        <v>Medium</v>
      </c>
      <c r="M92" s="1" t="str">
        <f t="shared" si="5"/>
        <v>No</v>
      </c>
    </row>
    <row r="93" spans="1:13" x14ac:dyDescent="0.35">
      <c r="A93">
        <v>93</v>
      </c>
      <c r="B93">
        <v>30</v>
      </c>
      <c r="C93" t="s">
        <v>10</v>
      </c>
      <c r="D93" t="s">
        <v>20</v>
      </c>
      <c r="E93" t="s">
        <v>21</v>
      </c>
      <c r="F93">
        <v>500</v>
      </c>
      <c r="G93">
        <v>7</v>
      </c>
      <c r="H93" t="s">
        <v>13</v>
      </c>
      <c r="I93" t="s">
        <v>14</v>
      </c>
      <c r="J93">
        <v>5</v>
      </c>
      <c r="K93" s="1" t="str">
        <f t="shared" si="3"/>
        <v>30-44</v>
      </c>
      <c r="L93" s="1" t="str">
        <f t="shared" si="4"/>
        <v>Low</v>
      </c>
      <c r="M93" s="1" t="str">
        <f t="shared" si="5"/>
        <v>Yes</v>
      </c>
    </row>
    <row r="94" spans="1:13" x14ac:dyDescent="0.35">
      <c r="A94">
        <v>94</v>
      </c>
      <c r="B94">
        <v>70</v>
      </c>
      <c r="C94" t="s">
        <v>15</v>
      </c>
      <c r="D94" t="s">
        <v>22</v>
      </c>
      <c r="E94" t="s">
        <v>23</v>
      </c>
      <c r="F94">
        <v>10000</v>
      </c>
      <c r="G94">
        <v>13</v>
      </c>
      <c r="H94" t="s">
        <v>18</v>
      </c>
      <c r="I94" t="s">
        <v>19</v>
      </c>
      <c r="J94">
        <v>2</v>
      </c>
      <c r="K94" s="1" t="str">
        <f t="shared" si="3"/>
        <v>60-74</v>
      </c>
      <c r="L94" s="1" t="str">
        <f t="shared" si="4"/>
        <v>High</v>
      </c>
      <c r="M94" s="1" t="str">
        <f t="shared" si="5"/>
        <v>No</v>
      </c>
    </row>
    <row r="95" spans="1:13" x14ac:dyDescent="0.35">
      <c r="A95">
        <v>95</v>
      </c>
      <c r="B95">
        <v>55</v>
      </c>
      <c r="C95" t="s">
        <v>10</v>
      </c>
      <c r="D95" t="s">
        <v>24</v>
      </c>
      <c r="E95" t="s">
        <v>25</v>
      </c>
      <c r="F95">
        <v>25000</v>
      </c>
      <c r="G95">
        <v>16</v>
      </c>
      <c r="H95" t="s">
        <v>13</v>
      </c>
      <c r="I95" t="s">
        <v>14</v>
      </c>
      <c r="J95">
        <v>4</v>
      </c>
      <c r="K95" s="1" t="str">
        <f t="shared" si="3"/>
        <v>45-59</v>
      </c>
      <c r="L95" s="1" t="str">
        <f t="shared" si="4"/>
        <v>High</v>
      </c>
      <c r="M95" s="1" t="str">
        <f t="shared" si="5"/>
        <v>Yes</v>
      </c>
    </row>
    <row r="96" spans="1:13" x14ac:dyDescent="0.35">
      <c r="A96">
        <v>96</v>
      </c>
      <c r="B96">
        <v>68</v>
      </c>
      <c r="C96" t="s">
        <v>15</v>
      </c>
      <c r="D96" t="s">
        <v>26</v>
      </c>
      <c r="E96" t="s">
        <v>27</v>
      </c>
      <c r="F96">
        <v>1000</v>
      </c>
      <c r="G96">
        <v>8</v>
      </c>
      <c r="H96" t="s">
        <v>13</v>
      </c>
      <c r="I96" t="s">
        <v>19</v>
      </c>
      <c r="J96">
        <v>4</v>
      </c>
      <c r="K96" s="1" t="str">
        <f t="shared" si="3"/>
        <v>60-74</v>
      </c>
      <c r="L96" s="1" t="str">
        <f t="shared" si="4"/>
        <v>Low</v>
      </c>
      <c r="M96" s="1" t="str">
        <f t="shared" si="5"/>
        <v>Yes</v>
      </c>
    </row>
    <row r="97" spans="1:13" x14ac:dyDescent="0.35">
      <c r="A97">
        <v>97</v>
      </c>
      <c r="B97">
        <v>45</v>
      </c>
      <c r="C97" t="s">
        <v>10</v>
      </c>
      <c r="D97" t="s">
        <v>28</v>
      </c>
      <c r="E97" t="s">
        <v>29</v>
      </c>
      <c r="F97">
        <v>8000</v>
      </c>
      <c r="G97">
        <v>10</v>
      </c>
      <c r="H97" t="s">
        <v>13</v>
      </c>
      <c r="I97" t="s">
        <v>14</v>
      </c>
      <c r="J97">
        <v>3</v>
      </c>
      <c r="K97" s="1" t="str">
        <f t="shared" si="3"/>
        <v>45-59</v>
      </c>
      <c r="L97" s="1" t="str">
        <f t="shared" si="4"/>
        <v>Medium</v>
      </c>
      <c r="M97" s="1" t="str">
        <f t="shared" si="5"/>
        <v>No</v>
      </c>
    </row>
    <row r="98" spans="1:13" x14ac:dyDescent="0.35">
      <c r="A98">
        <v>98</v>
      </c>
      <c r="B98">
        <v>40</v>
      </c>
      <c r="C98" t="s">
        <v>15</v>
      </c>
      <c r="D98" t="s">
        <v>30</v>
      </c>
      <c r="E98" t="s">
        <v>31</v>
      </c>
      <c r="F98">
        <v>3000</v>
      </c>
      <c r="G98">
        <v>12</v>
      </c>
      <c r="H98" t="s">
        <v>13</v>
      </c>
      <c r="I98" t="s">
        <v>14</v>
      </c>
      <c r="J98">
        <v>4</v>
      </c>
      <c r="K98" s="1" t="str">
        <f t="shared" si="3"/>
        <v>30-44</v>
      </c>
      <c r="L98" s="1" t="str">
        <f t="shared" si="4"/>
        <v>Medium</v>
      </c>
      <c r="M98" s="1" t="str">
        <f t="shared" si="5"/>
        <v>Yes</v>
      </c>
    </row>
    <row r="99" spans="1:13" x14ac:dyDescent="0.35">
      <c r="A99">
        <v>99</v>
      </c>
      <c r="B99">
        <v>78</v>
      </c>
      <c r="C99" t="s">
        <v>10</v>
      </c>
      <c r="D99" t="s">
        <v>32</v>
      </c>
      <c r="E99" t="s">
        <v>33</v>
      </c>
      <c r="F99">
        <v>18000</v>
      </c>
      <c r="G99">
        <v>14</v>
      </c>
      <c r="H99" t="s">
        <v>18</v>
      </c>
      <c r="I99" t="s">
        <v>19</v>
      </c>
      <c r="J99">
        <v>2</v>
      </c>
      <c r="K99" s="1" t="str">
        <f t="shared" si="3"/>
        <v>75+</v>
      </c>
      <c r="L99" s="1" t="str">
        <f t="shared" si="4"/>
        <v>High</v>
      </c>
      <c r="M99" s="1" t="str">
        <f t="shared" si="5"/>
        <v>No</v>
      </c>
    </row>
    <row r="100" spans="1:13" x14ac:dyDescent="0.35">
      <c r="A100">
        <v>100</v>
      </c>
      <c r="B100">
        <v>25</v>
      </c>
      <c r="C100" t="s">
        <v>15</v>
      </c>
      <c r="D100" t="s">
        <v>34</v>
      </c>
      <c r="E100" t="s">
        <v>35</v>
      </c>
      <c r="F100">
        <v>100</v>
      </c>
      <c r="G100">
        <v>7</v>
      </c>
      <c r="H100" t="s">
        <v>13</v>
      </c>
      <c r="I100" t="s">
        <v>14</v>
      </c>
      <c r="J100">
        <v>5</v>
      </c>
      <c r="K100" s="1" t="str">
        <f t="shared" si="3"/>
        <v>18-29</v>
      </c>
      <c r="L100" s="1" t="str">
        <f t="shared" si="4"/>
        <v>Low</v>
      </c>
      <c r="M100" s="1" t="str">
        <f t="shared" si="5"/>
        <v>Yes</v>
      </c>
    </row>
    <row r="101" spans="1:13" x14ac:dyDescent="0.35">
      <c r="A101">
        <v>101</v>
      </c>
      <c r="B101">
        <v>52</v>
      </c>
      <c r="C101" t="s">
        <v>10</v>
      </c>
      <c r="D101" t="s">
        <v>36</v>
      </c>
      <c r="E101" t="s">
        <v>37</v>
      </c>
      <c r="F101">
        <v>800</v>
      </c>
      <c r="G101">
        <v>8</v>
      </c>
      <c r="H101" t="s">
        <v>13</v>
      </c>
      <c r="I101" t="s">
        <v>19</v>
      </c>
      <c r="J101">
        <v>4</v>
      </c>
      <c r="K101" s="1" t="str">
        <f t="shared" si="3"/>
        <v>45-59</v>
      </c>
      <c r="L101" s="1" t="str">
        <f t="shared" si="4"/>
        <v>Low</v>
      </c>
      <c r="M101" s="1" t="str">
        <f t="shared" si="5"/>
        <v>Yes</v>
      </c>
    </row>
    <row r="102" spans="1:13" x14ac:dyDescent="0.35">
      <c r="A102">
        <v>102</v>
      </c>
      <c r="B102">
        <v>58</v>
      </c>
      <c r="C102" t="s">
        <v>15</v>
      </c>
      <c r="D102" t="s">
        <v>38</v>
      </c>
      <c r="E102" t="s">
        <v>39</v>
      </c>
      <c r="F102">
        <v>20000</v>
      </c>
      <c r="G102">
        <v>15</v>
      </c>
      <c r="H102" t="s">
        <v>13</v>
      </c>
      <c r="I102" t="s">
        <v>14</v>
      </c>
      <c r="J102">
        <v>3</v>
      </c>
      <c r="K102" s="1" t="str">
        <f t="shared" si="3"/>
        <v>45-59</v>
      </c>
      <c r="L102" s="1" t="str">
        <f t="shared" si="4"/>
        <v>High</v>
      </c>
      <c r="M102" s="1" t="str">
        <f t="shared" si="5"/>
        <v>No</v>
      </c>
    </row>
    <row r="103" spans="1:13" x14ac:dyDescent="0.35">
      <c r="A103">
        <v>103</v>
      </c>
      <c r="B103">
        <v>32</v>
      </c>
      <c r="C103" t="s">
        <v>10</v>
      </c>
      <c r="D103" t="s">
        <v>40</v>
      </c>
      <c r="E103" t="s">
        <v>41</v>
      </c>
      <c r="F103">
        <v>12000</v>
      </c>
      <c r="G103">
        <v>9</v>
      </c>
      <c r="H103" t="s">
        <v>13</v>
      </c>
      <c r="I103" t="s">
        <v>14</v>
      </c>
      <c r="J103">
        <v>4</v>
      </c>
      <c r="K103" s="1" t="str">
        <f t="shared" si="3"/>
        <v>30-44</v>
      </c>
      <c r="L103" s="1" t="str">
        <f t="shared" si="4"/>
        <v>High</v>
      </c>
      <c r="M103" s="1" t="str">
        <f t="shared" si="5"/>
        <v>Yes</v>
      </c>
    </row>
    <row r="104" spans="1:13" x14ac:dyDescent="0.35">
      <c r="A104">
        <v>104</v>
      </c>
      <c r="B104">
        <v>55</v>
      </c>
      <c r="C104" t="s">
        <v>15</v>
      </c>
      <c r="D104" t="s">
        <v>42</v>
      </c>
      <c r="E104" t="s">
        <v>43</v>
      </c>
      <c r="F104">
        <v>6000</v>
      </c>
      <c r="G104">
        <v>10</v>
      </c>
      <c r="H104" t="s">
        <v>13</v>
      </c>
      <c r="I104" t="s">
        <v>14</v>
      </c>
      <c r="J104">
        <v>3</v>
      </c>
      <c r="K104" s="1" t="str">
        <f t="shared" si="3"/>
        <v>45-59</v>
      </c>
      <c r="L104" s="1" t="str">
        <f t="shared" si="4"/>
        <v>Medium</v>
      </c>
      <c r="M104" s="1" t="str">
        <f t="shared" si="5"/>
        <v>No</v>
      </c>
    </row>
    <row r="105" spans="1:13" x14ac:dyDescent="0.35">
      <c r="A105">
        <v>105</v>
      </c>
      <c r="B105">
        <v>65</v>
      </c>
      <c r="C105" t="s">
        <v>10</v>
      </c>
      <c r="D105" t="s">
        <v>44</v>
      </c>
      <c r="E105" t="s">
        <v>45</v>
      </c>
      <c r="F105">
        <v>4000</v>
      </c>
      <c r="G105">
        <v>11</v>
      </c>
      <c r="H105" t="s">
        <v>13</v>
      </c>
      <c r="I105" t="s">
        <v>19</v>
      </c>
      <c r="J105">
        <v>4</v>
      </c>
      <c r="K105" s="1" t="str">
        <f t="shared" si="3"/>
        <v>60-74</v>
      </c>
      <c r="L105" s="1" t="str">
        <f t="shared" si="4"/>
        <v>Medium</v>
      </c>
      <c r="M105" s="1" t="str">
        <f t="shared" si="5"/>
        <v>Yes</v>
      </c>
    </row>
    <row r="106" spans="1:13" x14ac:dyDescent="0.35">
      <c r="A106">
        <v>106</v>
      </c>
      <c r="B106">
        <v>55</v>
      </c>
      <c r="C106" t="s">
        <v>10</v>
      </c>
      <c r="D106" t="s">
        <v>11</v>
      </c>
      <c r="E106" t="s">
        <v>12</v>
      </c>
      <c r="F106">
        <v>15000</v>
      </c>
      <c r="G106">
        <v>12</v>
      </c>
      <c r="H106" t="s">
        <v>18</v>
      </c>
      <c r="I106" t="s">
        <v>14</v>
      </c>
      <c r="J106">
        <v>3</v>
      </c>
      <c r="K106" s="1" t="str">
        <f t="shared" si="3"/>
        <v>45-59</v>
      </c>
      <c r="L106" s="1" t="str">
        <f t="shared" si="4"/>
        <v>High</v>
      </c>
      <c r="M106" s="1" t="str">
        <f t="shared" si="5"/>
        <v>No</v>
      </c>
    </row>
    <row r="107" spans="1:13" x14ac:dyDescent="0.35">
      <c r="A107">
        <v>107</v>
      </c>
      <c r="B107">
        <v>62</v>
      </c>
      <c r="C107" t="s">
        <v>15</v>
      </c>
      <c r="D107" t="s">
        <v>16</v>
      </c>
      <c r="E107" t="s">
        <v>17</v>
      </c>
      <c r="F107">
        <v>2000</v>
      </c>
      <c r="G107">
        <v>10</v>
      </c>
      <c r="H107" t="s">
        <v>13</v>
      </c>
      <c r="I107" t="s">
        <v>19</v>
      </c>
      <c r="J107">
        <v>4</v>
      </c>
      <c r="K107" s="1" t="str">
        <f t="shared" si="3"/>
        <v>60-74</v>
      </c>
      <c r="L107" s="1" t="str">
        <f t="shared" si="4"/>
        <v>Medium</v>
      </c>
      <c r="M107" s="1" t="str">
        <f t="shared" si="5"/>
        <v>Yes</v>
      </c>
    </row>
    <row r="108" spans="1:13" x14ac:dyDescent="0.35">
      <c r="A108">
        <v>108</v>
      </c>
      <c r="B108">
        <v>35</v>
      </c>
      <c r="C108" t="s">
        <v>10</v>
      </c>
      <c r="D108" t="s">
        <v>20</v>
      </c>
      <c r="E108" t="s">
        <v>21</v>
      </c>
      <c r="F108">
        <v>500</v>
      </c>
      <c r="G108">
        <v>8</v>
      </c>
      <c r="H108" t="s">
        <v>18</v>
      </c>
      <c r="I108" t="s">
        <v>14</v>
      </c>
      <c r="J108">
        <v>5</v>
      </c>
      <c r="K108" s="1" t="str">
        <f t="shared" si="3"/>
        <v>30-44</v>
      </c>
      <c r="L108" s="1" t="str">
        <f t="shared" si="4"/>
        <v>Low</v>
      </c>
      <c r="M108" s="1" t="str">
        <f t="shared" si="5"/>
        <v>Yes</v>
      </c>
    </row>
    <row r="109" spans="1:13" x14ac:dyDescent="0.35">
      <c r="A109">
        <v>109</v>
      </c>
      <c r="B109">
        <v>78</v>
      </c>
      <c r="C109" t="s">
        <v>15</v>
      </c>
      <c r="D109" t="s">
        <v>22</v>
      </c>
      <c r="E109" t="s">
        <v>23</v>
      </c>
      <c r="F109">
        <v>10000</v>
      </c>
      <c r="G109">
        <v>14</v>
      </c>
      <c r="H109" t="s">
        <v>13</v>
      </c>
      <c r="I109" t="s">
        <v>19</v>
      </c>
      <c r="J109">
        <v>2</v>
      </c>
      <c r="K109" s="1" t="str">
        <f t="shared" si="3"/>
        <v>75+</v>
      </c>
      <c r="L109" s="1" t="str">
        <f t="shared" si="4"/>
        <v>High</v>
      </c>
      <c r="M109" s="1" t="str">
        <f t="shared" si="5"/>
        <v>No</v>
      </c>
    </row>
    <row r="110" spans="1:13" x14ac:dyDescent="0.35">
      <c r="A110">
        <v>110</v>
      </c>
      <c r="B110">
        <v>53</v>
      </c>
      <c r="C110" t="s">
        <v>10</v>
      </c>
      <c r="D110" t="s">
        <v>24</v>
      </c>
      <c r="E110" t="s">
        <v>25</v>
      </c>
      <c r="F110">
        <v>25000</v>
      </c>
      <c r="G110">
        <v>17</v>
      </c>
      <c r="H110" t="s">
        <v>18</v>
      </c>
      <c r="I110" t="s">
        <v>14</v>
      </c>
      <c r="J110">
        <v>4</v>
      </c>
      <c r="K110" s="1" t="str">
        <f t="shared" si="3"/>
        <v>45-59</v>
      </c>
      <c r="L110" s="1" t="str">
        <f t="shared" si="4"/>
        <v>High</v>
      </c>
      <c r="M110" s="1" t="str">
        <f t="shared" si="5"/>
        <v>Yes</v>
      </c>
    </row>
    <row r="111" spans="1:13" x14ac:dyDescent="0.35">
      <c r="A111">
        <v>111</v>
      </c>
      <c r="B111">
        <v>72</v>
      </c>
      <c r="C111" t="s">
        <v>15</v>
      </c>
      <c r="D111" t="s">
        <v>26</v>
      </c>
      <c r="E111" t="s">
        <v>27</v>
      </c>
      <c r="F111">
        <v>1000</v>
      </c>
      <c r="G111">
        <v>9</v>
      </c>
      <c r="H111" t="s">
        <v>13</v>
      </c>
      <c r="I111" t="s">
        <v>19</v>
      </c>
      <c r="J111">
        <v>4</v>
      </c>
      <c r="K111" s="1" t="str">
        <f t="shared" si="3"/>
        <v>60-74</v>
      </c>
      <c r="L111" s="1" t="str">
        <f t="shared" si="4"/>
        <v>Low</v>
      </c>
      <c r="M111" s="1" t="str">
        <f t="shared" si="5"/>
        <v>Yes</v>
      </c>
    </row>
    <row r="112" spans="1:13" x14ac:dyDescent="0.35">
      <c r="A112">
        <v>112</v>
      </c>
      <c r="B112">
        <v>60</v>
      </c>
      <c r="C112" t="s">
        <v>10</v>
      </c>
      <c r="D112" t="s">
        <v>28</v>
      </c>
      <c r="E112" t="s">
        <v>29</v>
      </c>
      <c r="F112">
        <v>8000</v>
      </c>
      <c r="G112">
        <v>11</v>
      </c>
      <c r="H112" t="s">
        <v>18</v>
      </c>
      <c r="I112" t="s">
        <v>14</v>
      </c>
      <c r="J112">
        <v>3</v>
      </c>
      <c r="K112" s="1" t="str">
        <f t="shared" si="3"/>
        <v>60-74</v>
      </c>
      <c r="L112" s="1" t="str">
        <f t="shared" si="4"/>
        <v>Medium</v>
      </c>
      <c r="M112" s="1" t="str">
        <f t="shared" si="5"/>
        <v>No</v>
      </c>
    </row>
    <row r="113" spans="1:13" x14ac:dyDescent="0.35">
      <c r="A113">
        <v>113</v>
      </c>
      <c r="B113">
        <v>45</v>
      </c>
      <c r="C113" t="s">
        <v>15</v>
      </c>
      <c r="D113" t="s">
        <v>30</v>
      </c>
      <c r="E113" t="s">
        <v>31</v>
      </c>
      <c r="F113">
        <v>3000</v>
      </c>
      <c r="G113">
        <v>13</v>
      </c>
      <c r="H113" t="s">
        <v>13</v>
      </c>
      <c r="I113" t="s">
        <v>14</v>
      </c>
      <c r="J113">
        <v>4</v>
      </c>
      <c r="K113" s="1" t="str">
        <f t="shared" si="3"/>
        <v>45-59</v>
      </c>
      <c r="L113" s="1" t="str">
        <f t="shared" si="4"/>
        <v>Medium</v>
      </c>
      <c r="M113" s="1" t="str">
        <f t="shared" si="5"/>
        <v>Yes</v>
      </c>
    </row>
    <row r="114" spans="1:13" x14ac:dyDescent="0.35">
      <c r="A114">
        <v>114</v>
      </c>
      <c r="B114">
        <v>75</v>
      </c>
      <c r="C114" t="s">
        <v>10</v>
      </c>
      <c r="D114" t="s">
        <v>32</v>
      </c>
      <c r="E114" t="s">
        <v>33</v>
      </c>
      <c r="F114">
        <v>18000</v>
      </c>
      <c r="G114">
        <v>15</v>
      </c>
      <c r="H114" t="s">
        <v>18</v>
      </c>
      <c r="I114" t="s">
        <v>19</v>
      </c>
      <c r="J114">
        <v>2</v>
      </c>
      <c r="K114" s="1" t="str">
        <f t="shared" si="3"/>
        <v>75+</v>
      </c>
      <c r="L114" s="1" t="str">
        <f t="shared" si="4"/>
        <v>High</v>
      </c>
      <c r="M114" s="1" t="str">
        <f t="shared" si="5"/>
        <v>No</v>
      </c>
    </row>
    <row r="115" spans="1:13" x14ac:dyDescent="0.35">
      <c r="A115">
        <v>115</v>
      </c>
      <c r="B115">
        <v>28</v>
      </c>
      <c r="C115" t="s">
        <v>15</v>
      </c>
      <c r="D115" t="s">
        <v>34</v>
      </c>
      <c r="E115" t="s">
        <v>35</v>
      </c>
      <c r="F115">
        <v>100</v>
      </c>
      <c r="G115">
        <v>8</v>
      </c>
      <c r="H115" t="s">
        <v>13</v>
      </c>
      <c r="I115" t="s">
        <v>14</v>
      </c>
      <c r="J115">
        <v>5</v>
      </c>
      <c r="K115" s="1" t="str">
        <f t="shared" si="3"/>
        <v>18-29</v>
      </c>
      <c r="L115" s="1" t="str">
        <f t="shared" si="4"/>
        <v>Low</v>
      </c>
      <c r="M115" s="1" t="str">
        <f t="shared" si="5"/>
        <v>Yes</v>
      </c>
    </row>
    <row r="116" spans="1:13" x14ac:dyDescent="0.35">
      <c r="A116">
        <v>116</v>
      </c>
      <c r="B116">
        <v>52</v>
      </c>
      <c r="C116" t="s">
        <v>10</v>
      </c>
      <c r="D116" t="s">
        <v>36</v>
      </c>
      <c r="E116" t="s">
        <v>37</v>
      </c>
      <c r="F116">
        <v>800</v>
      </c>
      <c r="G116">
        <v>9</v>
      </c>
      <c r="H116" t="s">
        <v>13</v>
      </c>
      <c r="I116" t="s">
        <v>19</v>
      </c>
      <c r="J116">
        <v>4</v>
      </c>
      <c r="K116" s="1" t="str">
        <f t="shared" si="3"/>
        <v>45-59</v>
      </c>
      <c r="L116" s="1" t="str">
        <f t="shared" si="4"/>
        <v>Low</v>
      </c>
      <c r="M116" s="1" t="str">
        <f t="shared" si="5"/>
        <v>Yes</v>
      </c>
    </row>
    <row r="117" spans="1:13" x14ac:dyDescent="0.35">
      <c r="A117">
        <v>117</v>
      </c>
      <c r="B117">
        <v>67</v>
      </c>
      <c r="C117" t="s">
        <v>15</v>
      </c>
      <c r="D117" t="s">
        <v>38</v>
      </c>
      <c r="E117" t="s">
        <v>39</v>
      </c>
      <c r="F117">
        <v>20000</v>
      </c>
      <c r="G117">
        <v>16</v>
      </c>
      <c r="H117" t="s">
        <v>13</v>
      </c>
      <c r="I117" t="s">
        <v>14</v>
      </c>
      <c r="J117">
        <v>3</v>
      </c>
      <c r="K117" s="1" t="str">
        <f t="shared" si="3"/>
        <v>60-74</v>
      </c>
      <c r="L117" s="1" t="str">
        <f t="shared" si="4"/>
        <v>High</v>
      </c>
      <c r="M117" s="1" t="str">
        <f t="shared" si="5"/>
        <v>No</v>
      </c>
    </row>
    <row r="118" spans="1:13" x14ac:dyDescent="0.35">
      <c r="A118">
        <v>118</v>
      </c>
      <c r="B118">
        <v>35</v>
      </c>
      <c r="C118" t="s">
        <v>10</v>
      </c>
      <c r="D118" t="s">
        <v>40</v>
      </c>
      <c r="E118" t="s">
        <v>41</v>
      </c>
      <c r="F118">
        <v>12000</v>
      </c>
      <c r="G118">
        <v>10</v>
      </c>
      <c r="H118" t="s">
        <v>13</v>
      </c>
      <c r="I118" t="s">
        <v>14</v>
      </c>
      <c r="J118">
        <v>4</v>
      </c>
      <c r="K118" s="1" t="str">
        <f t="shared" si="3"/>
        <v>30-44</v>
      </c>
      <c r="L118" s="1" t="str">
        <f t="shared" si="4"/>
        <v>High</v>
      </c>
      <c r="M118" s="1" t="str">
        <f t="shared" si="5"/>
        <v>Yes</v>
      </c>
    </row>
    <row r="119" spans="1:13" x14ac:dyDescent="0.35">
      <c r="A119">
        <v>119</v>
      </c>
      <c r="B119">
        <v>50</v>
      </c>
      <c r="C119" t="s">
        <v>15</v>
      </c>
      <c r="D119" t="s">
        <v>42</v>
      </c>
      <c r="E119" t="s">
        <v>43</v>
      </c>
      <c r="F119">
        <v>6000</v>
      </c>
      <c r="G119">
        <v>11</v>
      </c>
      <c r="H119" t="s">
        <v>13</v>
      </c>
      <c r="I119" t="s">
        <v>14</v>
      </c>
      <c r="J119">
        <v>3</v>
      </c>
      <c r="K119" s="1" t="str">
        <f t="shared" si="3"/>
        <v>45-59</v>
      </c>
      <c r="L119" s="1" t="str">
        <f t="shared" si="4"/>
        <v>Medium</v>
      </c>
      <c r="M119" s="1" t="str">
        <f t="shared" si="5"/>
        <v>No</v>
      </c>
    </row>
    <row r="120" spans="1:13" x14ac:dyDescent="0.35">
      <c r="A120">
        <v>120</v>
      </c>
      <c r="B120">
        <v>60</v>
      </c>
      <c r="C120" t="s">
        <v>10</v>
      </c>
      <c r="D120" t="s">
        <v>44</v>
      </c>
      <c r="E120" t="s">
        <v>45</v>
      </c>
      <c r="F120">
        <v>4000</v>
      </c>
      <c r="G120">
        <v>12</v>
      </c>
      <c r="H120" t="s">
        <v>13</v>
      </c>
      <c r="I120" t="s">
        <v>19</v>
      </c>
      <c r="J120">
        <v>4</v>
      </c>
      <c r="K120" s="1" t="str">
        <f t="shared" si="3"/>
        <v>60-74</v>
      </c>
      <c r="L120" s="1" t="str">
        <f t="shared" si="4"/>
        <v>Medium</v>
      </c>
      <c r="M120" s="1" t="str">
        <f t="shared" si="5"/>
        <v>Yes</v>
      </c>
    </row>
    <row r="121" spans="1:13" x14ac:dyDescent="0.35">
      <c r="A121">
        <v>122</v>
      </c>
      <c r="B121">
        <v>65</v>
      </c>
      <c r="C121" t="s">
        <v>15</v>
      </c>
      <c r="D121" t="s">
        <v>16</v>
      </c>
      <c r="E121" t="s">
        <v>17</v>
      </c>
      <c r="F121">
        <v>2000</v>
      </c>
      <c r="G121">
        <v>11</v>
      </c>
      <c r="H121" t="s">
        <v>13</v>
      </c>
      <c r="I121" t="s">
        <v>19</v>
      </c>
      <c r="J121">
        <v>3</v>
      </c>
      <c r="K121" s="1" t="str">
        <f t="shared" si="3"/>
        <v>60-74</v>
      </c>
      <c r="L121" s="1" t="str">
        <f t="shared" si="4"/>
        <v>Medium</v>
      </c>
      <c r="M121" s="1" t="str">
        <f t="shared" si="5"/>
        <v>No</v>
      </c>
    </row>
    <row r="122" spans="1:13" x14ac:dyDescent="0.35">
      <c r="A122">
        <v>123</v>
      </c>
      <c r="B122">
        <v>30</v>
      </c>
      <c r="C122" t="s">
        <v>10</v>
      </c>
      <c r="D122" t="s">
        <v>20</v>
      </c>
      <c r="E122" t="s">
        <v>21</v>
      </c>
      <c r="F122">
        <v>500</v>
      </c>
      <c r="G122">
        <v>9</v>
      </c>
      <c r="H122" t="s">
        <v>13</v>
      </c>
      <c r="I122" t="s">
        <v>14</v>
      </c>
      <c r="J122">
        <v>5</v>
      </c>
      <c r="K122" s="1" t="str">
        <f t="shared" si="3"/>
        <v>30-44</v>
      </c>
      <c r="L122" s="1" t="str">
        <f t="shared" si="4"/>
        <v>Low</v>
      </c>
      <c r="M122" s="1" t="str">
        <f t="shared" si="5"/>
        <v>Yes</v>
      </c>
    </row>
    <row r="123" spans="1:13" x14ac:dyDescent="0.35">
      <c r="A123">
        <v>124</v>
      </c>
      <c r="B123">
        <v>70</v>
      </c>
      <c r="C123" t="s">
        <v>15</v>
      </c>
      <c r="D123" t="s">
        <v>22</v>
      </c>
      <c r="E123" t="s">
        <v>23</v>
      </c>
      <c r="F123">
        <v>10000</v>
      </c>
      <c r="G123">
        <v>15</v>
      </c>
      <c r="H123" t="s">
        <v>18</v>
      </c>
      <c r="I123" t="s">
        <v>19</v>
      </c>
      <c r="J123">
        <v>2</v>
      </c>
      <c r="K123" s="1" t="str">
        <f t="shared" si="3"/>
        <v>60-74</v>
      </c>
      <c r="L123" s="1" t="str">
        <f t="shared" si="4"/>
        <v>High</v>
      </c>
      <c r="M123" s="1" t="str">
        <f t="shared" si="5"/>
        <v>No</v>
      </c>
    </row>
    <row r="124" spans="1:13" x14ac:dyDescent="0.35">
      <c r="A124">
        <v>125</v>
      </c>
      <c r="B124">
        <v>55</v>
      </c>
      <c r="C124" t="s">
        <v>10</v>
      </c>
      <c r="D124" t="s">
        <v>24</v>
      </c>
      <c r="E124" t="s">
        <v>25</v>
      </c>
      <c r="F124">
        <v>25000</v>
      </c>
      <c r="G124">
        <v>18</v>
      </c>
      <c r="H124" t="s">
        <v>13</v>
      </c>
      <c r="I124" t="s">
        <v>14</v>
      </c>
      <c r="J124">
        <v>4</v>
      </c>
      <c r="K124" s="1" t="str">
        <f t="shared" si="3"/>
        <v>45-59</v>
      </c>
      <c r="L124" s="1" t="str">
        <f t="shared" si="4"/>
        <v>High</v>
      </c>
      <c r="M124" s="1" t="str">
        <f t="shared" si="5"/>
        <v>Yes</v>
      </c>
    </row>
    <row r="125" spans="1:13" x14ac:dyDescent="0.35">
      <c r="A125">
        <v>126</v>
      </c>
      <c r="B125">
        <v>68</v>
      </c>
      <c r="C125" t="s">
        <v>15</v>
      </c>
      <c r="D125" t="s">
        <v>26</v>
      </c>
      <c r="E125" t="s">
        <v>27</v>
      </c>
      <c r="F125">
        <v>1000</v>
      </c>
      <c r="G125">
        <v>10</v>
      </c>
      <c r="H125" t="s">
        <v>13</v>
      </c>
      <c r="I125" t="s">
        <v>19</v>
      </c>
      <c r="J125">
        <v>4</v>
      </c>
      <c r="K125" s="1" t="str">
        <f t="shared" si="3"/>
        <v>60-74</v>
      </c>
      <c r="L125" s="1" t="str">
        <f t="shared" si="4"/>
        <v>Low</v>
      </c>
      <c r="M125" s="1" t="str">
        <f t="shared" si="5"/>
        <v>Yes</v>
      </c>
    </row>
    <row r="126" spans="1:13" x14ac:dyDescent="0.35">
      <c r="A126">
        <v>127</v>
      </c>
      <c r="B126">
        <v>45</v>
      </c>
      <c r="C126" t="s">
        <v>10</v>
      </c>
      <c r="D126" t="s">
        <v>28</v>
      </c>
      <c r="E126" t="s">
        <v>29</v>
      </c>
      <c r="F126">
        <v>8000</v>
      </c>
      <c r="G126">
        <v>12</v>
      </c>
      <c r="H126" t="s">
        <v>13</v>
      </c>
      <c r="I126" t="s">
        <v>14</v>
      </c>
      <c r="J126">
        <v>3</v>
      </c>
      <c r="K126" s="1" t="str">
        <f t="shared" si="3"/>
        <v>45-59</v>
      </c>
      <c r="L126" s="1" t="str">
        <f t="shared" si="4"/>
        <v>Medium</v>
      </c>
      <c r="M126" s="1" t="str">
        <f t="shared" si="5"/>
        <v>No</v>
      </c>
    </row>
    <row r="127" spans="1:13" x14ac:dyDescent="0.35">
      <c r="A127">
        <v>128</v>
      </c>
      <c r="B127">
        <v>40</v>
      </c>
      <c r="C127" t="s">
        <v>15</v>
      </c>
      <c r="D127" t="s">
        <v>30</v>
      </c>
      <c r="E127" t="s">
        <v>31</v>
      </c>
      <c r="F127">
        <v>3000</v>
      </c>
      <c r="G127">
        <v>14</v>
      </c>
      <c r="H127" t="s">
        <v>13</v>
      </c>
      <c r="I127" t="s">
        <v>14</v>
      </c>
      <c r="J127">
        <v>4</v>
      </c>
      <c r="K127" s="1" t="str">
        <f t="shared" si="3"/>
        <v>30-44</v>
      </c>
      <c r="L127" s="1" t="str">
        <f t="shared" si="4"/>
        <v>Medium</v>
      </c>
      <c r="M127" s="1" t="str">
        <f t="shared" si="5"/>
        <v>Yes</v>
      </c>
    </row>
    <row r="128" spans="1:13" x14ac:dyDescent="0.35">
      <c r="A128">
        <v>129</v>
      </c>
      <c r="B128">
        <v>78</v>
      </c>
      <c r="C128" t="s">
        <v>10</v>
      </c>
      <c r="D128" t="s">
        <v>32</v>
      </c>
      <c r="E128" t="s">
        <v>33</v>
      </c>
      <c r="F128">
        <v>18000</v>
      </c>
      <c r="G128">
        <v>16</v>
      </c>
      <c r="H128" t="s">
        <v>18</v>
      </c>
      <c r="I128" t="s">
        <v>19</v>
      </c>
      <c r="J128">
        <v>2</v>
      </c>
      <c r="K128" s="1" t="str">
        <f t="shared" si="3"/>
        <v>75+</v>
      </c>
      <c r="L128" s="1" t="str">
        <f t="shared" si="4"/>
        <v>High</v>
      </c>
      <c r="M128" s="1" t="str">
        <f t="shared" si="5"/>
        <v>No</v>
      </c>
    </row>
    <row r="129" spans="1:13" x14ac:dyDescent="0.35">
      <c r="A129">
        <v>130</v>
      </c>
      <c r="B129">
        <v>25</v>
      </c>
      <c r="C129" t="s">
        <v>15</v>
      </c>
      <c r="D129" t="s">
        <v>34</v>
      </c>
      <c r="E129" t="s">
        <v>35</v>
      </c>
      <c r="F129">
        <v>100</v>
      </c>
      <c r="G129">
        <v>9</v>
      </c>
      <c r="H129" t="s">
        <v>13</v>
      </c>
      <c r="I129" t="s">
        <v>14</v>
      </c>
      <c r="J129">
        <v>5</v>
      </c>
      <c r="K129" s="1" t="str">
        <f t="shared" si="3"/>
        <v>18-29</v>
      </c>
      <c r="L129" s="1" t="str">
        <f t="shared" si="4"/>
        <v>Low</v>
      </c>
      <c r="M129" s="1" t="str">
        <f t="shared" si="5"/>
        <v>Yes</v>
      </c>
    </row>
    <row r="130" spans="1:13" x14ac:dyDescent="0.35">
      <c r="A130">
        <v>131</v>
      </c>
      <c r="B130">
        <v>52</v>
      </c>
      <c r="C130" t="s">
        <v>10</v>
      </c>
      <c r="D130" t="s">
        <v>36</v>
      </c>
      <c r="E130" t="s">
        <v>37</v>
      </c>
      <c r="F130">
        <v>800</v>
      </c>
      <c r="G130">
        <v>10</v>
      </c>
      <c r="H130" t="s">
        <v>13</v>
      </c>
      <c r="I130" t="s">
        <v>19</v>
      </c>
      <c r="J130">
        <v>4</v>
      </c>
      <c r="K130" s="1" t="str">
        <f t="shared" si="3"/>
        <v>45-59</v>
      </c>
      <c r="L130" s="1" t="str">
        <f t="shared" si="4"/>
        <v>Low</v>
      </c>
      <c r="M130" s="1" t="str">
        <f t="shared" si="5"/>
        <v>Yes</v>
      </c>
    </row>
    <row r="131" spans="1:13" x14ac:dyDescent="0.35">
      <c r="A131">
        <v>132</v>
      </c>
      <c r="B131">
        <v>58</v>
      </c>
      <c r="C131" t="s">
        <v>15</v>
      </c>
      <c r="D131" t="s">
        <v>38</v>
      </c>
      <c r="E131" t="s">
        <v>39</v>
      </c>
      <c r="F131">
        <v>20000</v>
      </c>
      <c r="G131">
        <v>17</v>
      </c>
      <c r="H131" t="s">
        <v>13</v>
      </c>
      <c r="I131" t="s">
        <v>14</v>
      </c>
      <c r="J131">
        <v>3</v>
      </c>
      <c r="K131" s="1" t="str">
        <f t="shared" ref="K131:K194" si="6">IF(B131&lt;30,"18-29",IF(B131&lt;45,"30-44",IF(B131&lt;60,"45-59",IF(B131&lt;75,"60-74","75+"))))</f>
        <v>45-59</v>
      </c>
      <c r="L131" s="1" t="str">
        <f t="shared" ref="L131:L194" si="7">IF(F131&lt;=1000,"Low",IF(F131&lt;=8000,"Medium","High"))</f>
        <v>High</v>
      </c>
      <c r="M131" s="1" t="str">
        <f t="shared" ref="M131:M194" si="8">IF(J131&gt;=4,"Yes","No")</f>
        <v>No</v>
      </c>
    </row>
    <row r="132" spans="1:13" x14ac:dyDescent="0.35">
      <c r="A132">
        <v>133</v>
      </c>
      <c r="B132">
        <v>32</v>
      </c>
      <c r="C132" t="s">
        <v>10</v>
      </c>
      <c r="D132" t="s">
        <v>40</v>
      </c>
      <c r="E132" t="s">
        <v>41</v>
      </c>
      <c r="F132">
        <v>12000</v>
      </c>
      <c r="G132">
        <v>11</v>
      </c>
      <c r="H132" t="s">
        <v>13</v>
      </c>
      <c r="I132" t="s">
        <v>14</v>
      </c>
      <c r="J132">
        <v>4</v>
      </c>
      <c r="K132" s="1" t="str">
        <f t="shared" si="6"/>
        <v>30-44</v>
      </c>
      <c r="L132" s="1" t="str">
        <f t="shared" si="7"/>
        <v>High</v>
      </c>
      <c r="M132" s="1" t="str">
        <f t="shared" si="8"/>
        <v>Yes</v>
      </c>
    </row>
    <row r="133" spans="1:13" x14ac:dyDescent="0.35">
      <c r="A133">
        <v>134</v>
      </c>
      <c r="B133">
        <v>55</v>
      </c>
      <c r="C133" t="s">
        <v>15</v>
      </c>
      <c r="D133" t="s">
        <v>42</v>
      </c>
      <c r="E133" t="s">
        <v>43</v>
      </c>
      <c r="F133">
        <v>6000</v>
      </c>
      <c r="G133">
        <v>12</v>
      </c>
      <c r="H133" t="s">
        <v>13</v>
      </c>
      <c r="I133" t="s">
        <v>14</v>
      </c>
      <c r="J133">
        <v>3</v>
      </c>
      <c r="K133" s="1" t="str">
        <f t="shared" si="6"/>
        <v>45-59</v>
      </c>
      <c r="L133" s="1" t="str">
        <f t="shared" si="7"/>
        <v>Medium</v>
      </c>
      <c r="M133" s="1" t="str">
        <f t="shared" si="8"/>
        <v>No</v>
      </c>
    </row>
    <row r="134" spans="1:13" x14ac:dyDescent="0.35">
      <c r="A134">
        <v>135</v>
      </c>
      <c r="B134">
        <v>65</v>
      </c>
      <c r="C134" t="s">
        <v>10</v>
      </c>
      <c r="D134" t="s">
        <v>44</v>
      </c>
      <c r="E134" t="s">
        <v>45</v>
      </c>
      <c r="F134">
        <v>4000</v>
      </c>
      <c r="G134">
        <v>13</v>
      </c>
      <c r="H134" t="s">
        <v>13</v>
      </c>
      <c r="I134" t="s">
        <v>19</v>
      </c>
      <c r="J134">
        <v>4</v>
      </c>
      <c r="K134" s="1" t="str">
        <f t="shared" si="6"/>
        <v>60-74</v>
      </c>
      <c r="L134" s="1" t="str">
        <f t="shared" si="7"/>
        <v>Medium</v>
      </c>
      <c r="M134" s="1" t="str">
        <f t="shared" si="8"/>
        <v>Yes</v>
      </c>
    </row>
    <row r="135" spans="1:13" x14ac:dyDescent="0.35">
      <c r="A135">
        <v>136</v>
      </c>
      <c r="B135">
        <v>55</v>
      </c>
      <c r="C135" t="s">
        <v>10</v>
      </c>
      <c r="D135" t="s">
        <v>11</v>
      </c>
      <c r="E135" t="s">
        <v>12</v>
      </c>
      <c r="F135">
        <v>15000</v>
      </c>
      <c r="G135">
        <v>14</v>
      </c>
      <c r="H135" t="s">
        <v>18</v>
      </c>
      <c r="I135" t="s">
        <v>14</v>
      </c>
      <c r="J135">
        <v>3</v>
      </c>
      <c r="K135" s="1" t="str">
        <f t="shared" si="6"/>
        <v>45-59</v>
      </c>
      <c r="L135" s="1" t="str">
        <f t="shared" si="7"/>
        <v>High</v>
      </c>
      <c r="M135" s="1" t="str">
        <f t="shared" si="8"/>
        <v>No</v>
      </c>
    </row>
    <row r="136" spans="1:13" x14ac:dyDescent="0.35">
      <c r="A136">
        <v>137</v>
      </c>
      <c r="B136">
        <v>62</v>
      </c>
      <c r="C136" t="s">
        <v>15</v>
      </c>
      <c r="D136" t="s">
        <v>16</v>
      </c>
      <c r="E136" t="s">
        <v>17</v>
      </c>
      <c r="F136">
        <v>2000</v>
      </c>
      <c r="G136">
        <v>12</v>
      </c>
      <c r="H136" t="s">
        <v>13</v>
      </c>
      <c r="I136" t="s">
        <v>19</v>
      </c>
      <c r="J136">
        <v>4</v>
      </c>
      <c r="K136" s="1" t="str">
        <f t="shared" si="6"/>
        <v>60-74</v>
      </c>
      <c r="L136" s="1" t="str">
        <f t="shared" si="7"/>
        <v>Medium</v>
      </c>
      <c r="M136" s="1" t="str">
        <f t="shared" si="8"/>
        <v>Yes</v>
      </c>
    </row>
    <row r="137" spans="1:13" x14ac:dyDescent="0.35">
      <c r="A137">
        <v>138</v>
      </c>
      <c r="B137">
        <v>35</v>
      </c>
      <c r="C137" t="s">
        <v>10</v>
      </c>
      <c r="D137" t="s">
        <v>20</v>
      </c>
      <c r="E137" t="s">
        <v>21</v>
      </c>
      <c r="F137">
        <v>500</v>
      </c>
      <c r="G137">
        <v>10</v>
      </c>
      <c r="H137" t="s">
        <v>18</v>
      </c>
      <c r="I137" t="s">
        <v>14</v>
      </c>
      <c r="J137">
        <v>5</v>
      </c>
      <c r="K137" s="1" t="str">
        <f t="shared" si="6"/>
        <v>30-44</v>
      </c>
      <c r="L137" s="1" t="str">
        <f t="shared" si="7"/>
        <v>Low</v>
      </c>
      <c r="M137" s="1" t="str">
        <f t="shared" si="8"/>
        <v>Yes</v>
      </c>
    </row>
    <row r="138" spans="1:13" x14ac:dyDescent="0.35">
      <c r="A138">
        <v>139</v>
      </c>
      <c r="B138">
        <v>78</v>
      </c>
      <c r="C138" t="s">
        <v>15</v>
      </c>
      <c r="D138" t="s">
        <v>22</v>
      </c>
      <c r="E138" t="s">
        <v>23</v>
      </c>
      <c r="F138">
        <v>10000</v>
      </c>
      <c r="G138">
        <v>16</v>
      </c>
      <c r="H138" t="s">
        <v>13</v>
      </c>
      <c r="I138" t="s">
        <v>19</v>
      </c>
      <c r="J138">
        <v>2</v>
      </c>
      <c r="K138" s="1" t="str">
        <f t="shared" si="6"/>
        <v>75+</v>
      </c>
      <c r="L138" s="1" t="str">
        <f t="shared" si="7"/>
        <v>High</v>
      </c>
      <c r="M138" s="1" t="str">
        <f t="shared" si="8"/>
        <v>No</v>
      </c>
    </row>
    <row r="139" spans="1:13" x14ac:dyDescent="0.35">
      <c r="A139">
        <v>140</v>
      </c>
      <c r="B139">
        <v>53</v>
      </c>
      <c r="C139" t="s">
        <v>10</v>
      </c>
      <c r="D139" t="s">
        <v>24</v>
      </c>
      <c r="E139" t="s">
        <v>25</v>
      </c>
      <c r="F139">
        <v>25000</v>
      </c>
      <c r="G139">
        <v>19</v>
      </c>
      <c r="H139" t="s">
        <v>18</v>
      </c>
      <c r="I139" t="s">
        <v>14</v>
      </c>
      <c r="J139">
        <v>4</v>
      </c>
      <c r="K139" s="1" t="str">
        <f t="shared" si="6"/>
        <v>45-59</v>
      </c>
      <c r="L139" s="1" t="str">
        <f t="shared" si="7"/>
        <v>High</v>
      </c>
      <c r="M139" s="1" t="str">
        <f t="shared" si="8"/>
        <v>Yes</v>
      </c>
    </row>
    <row r="140" spans="1:13" x14ac:dyDescent="0.35">
      <c r="A140">
        <v>141</v>
      </c>
      <c r="B140">
        <v>72</v>
      </c>
      <c r="C140" t="s">
        <v>15</v>
      </c>
      <c r="D140" t="s">
        <v>26</v>
      </c>
      <c r="E140" t="s">
        <v>27</v>
      </c>
      <c r="F140">
        <v>1000</v>
      </c>
      <c r="G140">
        <v>11</v>
      </c>
      <c r="H140" t="s">
        <v>13</v>
      </c>
      <c r="I140" t="s">
        <v>19</v>
      </c>
      <c r="J140">
        <v>4</v>
      </c>
      <c r="K140" s="1" t="str">
        <f t="shared" si="6"/>
        <v>60-74</v>
      </c>
      <c r="L140" s="1" t="str">
        <f t="shared" si="7"/>
        <v>Low</v>
      </c>
      <c r="M140" s="1" t="str">
        <f t="shared" si="8"/>
        <v>Yes</v>
      </c>
    </row>
    <row r="141" spans="1:13" x14ac:dyDescent="0.35">
      <c r="A141">
        <v>142</v>
      </c>
      <c r="B141">
        <v>60</v>
      </c>
      <c r="C141" t="s">
        <v>10</v>
      </c>
      <c r="D141" t="s">
        <v>28</v>
      </c>
      <c r="E141" t="s">
        <v>29</v>
      </c>
      <c r="F141">
        <v>8000</v>
      </c>
      <c r="G141">
        <v>13</v>
      </c>
      <c r="H141" t="s">
        <v>18</v>
      </c>
      <c r="I141" t="s">
        <v>14</v>
      </c>
      <c r="J141">
        <v>3</v>
      </c>
      <c r="K141" s="1" t="str">
        <f t="shared" si="6"/>
        <v>60-74</v>
      </c>
      <c r="L141" s="1" t="str">
        <f t="shared" si="7"/>
        <v>Medium</v>
      </c>
      <c r="M141" s="1" t="str">
        <f t="shared" si="8"/>
        <v>No</v>
      </c>
    </row>
    <row r="142" spans="1:13" x14ac:dyDescent="0.35">
      <c r="A142">
        <v>143</v>
      </c>
      <c r="B142">
        <v>45</v>
      </c>
      <c r="C142" t="s">
        <v>15</v>
      </c>
      <c r="D142" t="s">
        <v>30</v>
      </c>
      <c r="E142" t="s">
        <v>31</v>
      </c>
      <c r="F142">
        <v>3000</v>
      </c>
      <c r="G142">
        <v>15</v>
      </c>
      <c r="H142" t="s">
        <v>13</v>
      </c>
      <c r="I142" t="s">
        <v>14</v>
      </c>
      <c r="J142">
        <v>4</v>
      </c>
      <c r="K142" s="1" t="str">
        <f t="shared" si="6"/>
        <v>45-59</v>
      </c>
      <c r="L142" s="1" t="str">
        <f t="shared" si="7"/>
        <v>Medium</v>
      </c>
      <c r="M142" s="1" t="str">
        <f t="shared" si="8"/>
        <v>Yes</v>
      </c>
    </row>
    <row r="143" spans="1:13" x14ac:dyDescent="0.35">
      <c r="A143">
        <v>144</v>
      </c>
      <c r="B143">
        <v>75</v>
      </c>
      <c r="C143" t="s">
        <v>10</v>
      </c>
      <c r="D143" t="s">
        <v>32</v>
      </c>
      <c r="E143" t="s">
        <v>33</v>
      </c>
      <c r="F143">
        <v>18000</v>
      </c>
      <c r="G143">
        <v>17</v>
      </c>
      <c r="H143" t="s">
        <v>18</v>
      </c>
      <c r="I143" t="s">
        <v>19</v>
      </c>
      <c r="J143">
        <v>2</v>
      </c>
      <c r="K143" s="1" t="str">
        <f t="shared" si="6"/>
        <v>75+</v>
      </c>
      <c r="L143" s="1" t="str">
        <f t="shared" si="7"/>
        <v>High</v>
      </c>
      <c r="M143" s="1" t="str">
        <f t="shared" si="8"/>
        <v>No</v>
      </c>
    </row>
    <row r="144" spans="1:13" x14ac:dyDescent="0.35">
      <c r="A144">
        <v>145</v>
      </c>
      <c r="B144">
        <v>28</v>
      </c>
      <c r="C144" t="s">
        <v>15</v>
      </c>
      <c r="D144" t="s">
        <v>34</v>
      </c>
      <c r="E144" t="s">
        <v>35</v>
      </c>
      <c r="F144">
        <v>100</v>
      </c>
      <c r="G144">
        <v>10</v>
      </c>
      <c r="H144" t="s">
        <v>13</v>
      </c>
      <c r="I144" t="s">
        <v>14</v>
      </c>
      <c r="J144">
        <v>5</v>
      </c>
      <c r="K144" s="1" t="str">
        <f t="shared" si="6"/>
        <v>18-29</v>
      </c>
      <c r="L144" s="1" t="str">
        <f t="shared" si="7"/>
        <v>Low</v>
      </c>
      <c r="M144" s="1" t="str">
        <f t="shared" si="8"/>
        <v>Yes</v>
      </c>
    </row>
    <row r="145" spans="1:13" x14ac:dyDescent="0.35">
      <c r="A145">
        <v>146</v>
      </c>
      <c r="B145">
        <v>52</v>
      </c>
      <c r="C145" t="s">
        <v>10</v>
      </c>
      <c r="D145" t="s">
        <v>36</v>
      </c>
      <c r="E145" t="s">
        <v>37</v>
      </c>
      <c r="F145">
        <v>800</v>
      </c>
      <c r="G145">
        <v>11</v>
      </c>
      <c r="H145" t="s">
        <v>13</v>
      </c>
      <c r="I145" t="s">
        <v>19</v>
      </c>
      <c r="J145">
        <v>4</v>
      </c>
      <c r="K145" s="1" t="str">
        <f t="shared" si="6"/>
        <v>45-59</v>
      </c>
      <c r="L145" s="1" t="str">
        <f t="shared" si="7"/>
        <v>Low</v>
      </c>
      <c r="M145" s="1" t="str">
        <f t="shared" si="8"/>
        <v>Yes</v>
      </c>
    </row>
    <row r="146" spans="1:13" x14ac:dyDescent="0.35">
      <c r="A146">
        <v>147</v>
      </c>
      <c r="B146">
        <v>67</v>
      </c>
      <c r="C146" t="s">
        <v>15</v>
      </c>
      <c r="D146" t="s">
        <v>38</v>
      </c>
      <c r="E146" t="s">
        <v>39</v>
      </c>
      <c r="F146">
        <v>20000</v>
      </c>
      <c r="G146">
        <v>18</v>
      </c>
      <c r="H146" t="s">
        <v>13</v>
      </c>
      <c r="I146" t="s">
        <v>14</v>
      </c>
      <c r="J146">
        <v>3</v>
      </c>
      <c r="K146" s="1" t="str">
        <f t="shared" si="6"/>
        <v>60-74</v>
      </c>
      <c r="L146" s="1" t="str">
        <f t="shared" si="7"/>
        <v>High</v>
      </c>
      <c r="M146" s="1" t="str">
        <f t="shared" si="8"/>
        <v>No</v>
      </c>
    </row>
    <row r="147" spans="1:13" x14ac:dyDescent="0.35">
      <c r="A147">
        <v>148</v>
      </c>
      <c r="B147">
        <v>35</v>
      </c>
      <c r="C147" t="s">
        <v>10</v>
      </c>
      <c r="D147" t="s">
        <v>40</v>
      </c>
      <c r="E147" t="s">
        <v>41</v>
      </c>
      <c r="F147">
        <v>12000</v>
      </c>
      <c r="G147">
        <v>12</v>
      </c>
      <c r="H147" t="s">
        <v>13</v>
      </c>
      <c r="I147" t="s">
        <v>14</v>
      </c>
      <c r="J147">
        <v>4</v>
      </c>
      <c r="K147" s="1" t="str">
        <f t="shared" si="6"/>
        <v>30-44</v>
      </c>
      <c r="L147" s="1" t="str">
        <f t="shared" si="7"/>
        <v>High</v>
      </c>
      <c r="M147" s="1" t="str">
        <f t="shared" si="8"/>
        <v>Yes</v>
      </c>
    </row>
    <row r="148" spans="1:13" x14ac:dyDescent="0.35">
      <c r="A148">
        <v>149</v>
      </c>
      <c r="B148">
        <v>50</v>
      </c>
      <c r="C148" t="s">
        <v>15</v>
      </c>
      <c r="D148" t="s">
        <v>42</v>
      </c>
      <c r="E148" t="s">
        <v>43</v>
      </c>
      <c r="F148">
        <v>6000</v>
      </c>
      <c r="G148">
        <v>13</v>
      </c>
      <c r="H148" t="s">
        <v>13</v>
      </c>
      <c r="I148" t="s">
        <v>14</v>
      </c>
      <c r="J148">
        <v>3</v>
      </c>
      <c r="K148" s="1" t="str">
        <f t="shared" si="6"/>
        <v>45-59</v>
      </c>
      <c r="L148" s="1" t="str">
        <f t="shared" si="7"/>
        <v>Medium</v>
      </c>
      <c r="M148" s="1" t="str">
        <f t="shared" si="8"/>
        <v>No</v>
      </c>
    </row>
    <row r="149" spans="1:13" x14ac:dyDescent="0.35">
      <c r="A149">
        <v>150</v>
      </c>
      <c r="B149">
        <v>60</v>
      </c>
      <c r="C149" t="s">
        <v>10</v>
      </c>
      <c r="D149" t="s">
        <v>44</v>
      </c>
      <c r="E149" t="s">
        <v>45</v>
      </c>
      <c r="F149">
        <v>4000</v>
      </c>
      <c r="G149">
        <v>14</v>
      </c>
      <c r="H149" t="s">
        <v>13</v>
      </c>
      <c r="I149" t="s">
        <v>19</v>
      </c>
      <c r="J149">
        <v>4</v>
      </c>
      <c r="K149" s="1" t="str">
        <f t="shared" si="6"/>
        <v>60-74</v>
      </c>
      <c r="L149" s="1" t="str">
        <f t="shared" si="7"/>
        <v>Medium</v>
      </c>
      <c r="M149" s="1" t="str">
        <f t="shared" si="8"/>
        <v>Yes</v>
      </c>
    </row>
    <row r="150" spans="1:13" x14ac:dyDescent="0.35">
      <c r="A150">
        <v>151</v>
      </c>
      <c r="B150">
        <v>48</v>
      </c>
      <c r="C150" t="s">
        <v>10</v>
      </c>
      <c r="D150" t="s">
        <v>11</v>
      </c>
      <c r="E150" t="s">
        <v>12</v>
      </c>
      <c r="F150">
        <v>15000</v>
      </c>
      <c r="G150">
        <v>15</v>
      </c>
      <c r="H150" t="s">
        <v>18</v>
      </c>
      <c r="I150" t="s">
        <v>14</v>
      </c>
      <c r="J150">
        <v>4</v>
      </c>
      <c r="K150" s="1" t="str">
        <f t="shared" si="6"/>
        <v>45-59</v>
      </c>
      <c r="L150" s="1" t="str">
        <f t="shared" si="7"/>
        <v>High</v>
      </c>
      <c r="M150" s="1" t="str">
        <f t="shared" si="8"/>
        <v>Yes</v>
      </c>
    </row>
    <row r="151" spans="1:13" x14ac:dyDescent="0.35">
      <c r="A151">
        <v>152</v>
      </c>
      <c r="B151">
        <v>65</v>
      </c>
      <c r="C151" t="s">
        <v>15</v>
      </c>
      <c r="D151" t="s">
        <v>16</v>
      </c>
      <c r="E151" t="s">
        <v>17</v>
      </c>
      <c r="F151">
        <v>2000</v>
      </c>
      <c r="G151">
        <v>13</v>
      </c>
      <c r="H151" t="s">
        <v>13</v>
      </c>
      <c r="I151" t="s">
        <v>19</v>
      </c>
      <c r="J151">
        <v>3</v>
      </c>
      <c r="K151" s="1" t="str">
        <f t="shared" si="6"/>
        <v>60-74</v>
      </c>
      <c r="L151" s="1" t="str">
        <f t="shared" si="7"/>
        <v>Medium</v>
      </c>
      <c r="M151" s="1" t="str">
        <f t="shared" si="8"/>
        <v>No</v>
      </c>
    </row>
    <row r="152" spans="1:13" x14ac:dyDescent="0.35">
      <c r="A152">
        <v>153</v>
      </c>
      <c r="B152">
        <v>30</v>
      </c>
      <c r="C152" t="s">
        <v>10</v>
      </c>
      <c r="D152" t="s">
        <v>20</v>
      </c>
      <c r="E152" t="s">
        <v>21</v>
      </c>
      <c r="F152">
        <v>500</v>
      </c>
      <c r="G152">
        <v>11</v>
      </c>
      <c r="H152" t="s">
        <v>13</v>
      </c>
      <c r="I152" t="s">
        <v>14</v>
      </c>
      <c r="J152">
        <v>5</v>
      </c>
      <c r="K152" s="1" t="str">
        <f t="shared" si="6"/>
        <v>30-44</v>
      </c>
      <c r="L152" s="1" t="str">
        <f t="shared" si="7"/>
        <v>Low</v>
      </c>
      <c r="M152" s="1" t="str">
        <f t="shared" si="8"/>
        <v>Yes</v>
      </c>
    </row>
    <row r="153" spans="1:13" x14ac:dyDescent="0.35">
      <c r="A153">
        <v>154</v>
      </c>
      <c r="B153">
        <v>70</v>
      </c>
      <c r="C153" t="s">
        <v>15</v>
      </c>
      <c r="D153" t="s">
        <v>22</v>
      </c>
      <c r="E153" t="s">
        <v>23</v>
      </c>
      <c r="F153">
        <v>10000</v>
      </c>
      <c r="G153">
        <v>17</v>
      </c>
      <c r="H153" t="s">
        <v>18</v>
      </c>
      <c r="I153" t="s">
        <v>19</v>
      </c>
      <c r="J153">
        <v>2</v>
      </c>
      <c r="K153" s="1" t="str">
        <f t="shared" si="6"/>
        <v>60-74</v>
      </c>
      <c r="L153" s="1" t="str">
        <f t="shared" si="7"/>
        <v>High</v>
      </c>
      <c r="M153" s="1" t="str">
        <f t="shared" si="8"/>
        <v>No</v>
      </c>
    </row>
    <row r="154" spans="1:13" x14ac:dyDescent="0.35">
      <c r="A154">
        <v>155</v>
      </c>
      <c r="B154">
        <v>55</v>
      </c>
      <c r="C154" t="s">
        <v>10</v>
      </c>
      <c r="D154" t="s">
        <v>24</v>
      </c>
      <c r="E154" t="s">
        <v>25</v>
      </c>
      <c r="F154">
        <v>25000</v>
      </c>
      <c r="G154">
        <v>20</v>
      </c>
      <c r="H154" t="s">
        <v>13</v>
      </c>
      <c r="I154" t="s">
        <v>14</v>
      </c>
      <c r="J154">
        <v>4</v>
      </c>
      <c r="K154" s="1" t="str">
        <f t="shared" si="6"/>
        <v>45-59</v>
      </c>
      <c r="L154" s="1" t="str">
        <f t="shared" si="7"/>
        <v>High</v>
      </c>
      <c r="M154" s="1" t="str">
        <f t="shared" si="8"/>
        <v>Yes</v>
      </c>
    </row>
    <row r="155" spans="1:13" x14ac:dyDescent="0.35">
      <c r="A155">
        <v>156</v>
      </c>
      <c r="B155">
        <v>68</v>
      </c>
      <c r="C155" t="s">
        <v>15</v>
      </c>
      <c r="D155" t="s">
        <v>26</v>
      </c>
      <c r="E155" t="s">
        <v>27</v>
      </c>
      <c r="F155">
        <v>1000</v>
      </c>
      <c r="G155">
        <v>12</v>
      </c>
      <c r="H155" t="s">
        <v>13</v>
      </c>
      <c r="I155" t="s">
        <v>19</v>
      </c>
      <c r="J155">
        <v>4</v>
      </c>
      <c r="K155" s="1" t="str">
        <f t="shared" si="6"/>
        <v>60-74</v>
      </c>
      <c r="L155" s="1" t="str">
        <f t="shared" si="7"/>
        <v>Low</v>
      </c>
      <c r="M155" s="1" t="str">
        <f t="shared" si="8"/>
        <v>Yes</v>
      </c>
    </row>
    <row r="156" spans="1:13" x14ac:dyDescent="0.35">
      <c r="A156">
        <v>157</v>
      </c>
      <c r="B156">
        <v>45</v>
      </c>
      <c r="C156" t="s">
        <v>10</v>
      </c>
      <c r="D156" t="s">
        <v>28</v>
      </c>
      <c r="E156" t="s">
        <v>29</v>
      </c>
      <c r="F156">
        <v>8000</v>
      </c>
      <c r="G156">
        <v>14</v>
      </c>
      <c r="H156" t="s">
        <v>13</v>
      </c>
      <c r="I156" t="s">
        <v>14</v>
      </c>
      <c r="J156">
        <v>3</v>
      </c>
      <c r="K156" s="1" t="str">
        <f t="shared" si="6"/>
        <v>45-59</v>
      </c>
      <c r="L156" s="1" t="str">
        <f t="shared" si="7"/>
        <v>Medium</v>
      </c>
      <c r="M156" s="1" t="str">
        <f t="shared" si="8"/>
        <v>No</v>
      </c>
    </row>
    <row r="157" spans="1:13" x14ac:dyDescent="0.35">
      <c r="A157">
        <v>158</v>
      </c>
      <c r="B157">
        <v>40</v>
      </c>
      <c r="C157" t="s">
        <v>15</v>
      </c>
      <c r="D157" t="s">
        <v>30</v>
      </c>
      <c r="E157" t="s">
        <v>31</v>
      </c>
      <c r="F157">
        <v>3000</v>
      </c>
      <c r="G157">
        <v>16</v>
      </c>
      <c r="H157" t="s">
        <v>13</v>
      </c>
      <c r="I157" t="s">
        <v>14</v>
      </c>
      <c r="J157">
        <v>4</v>
      </c>
      <c r="K157" s="1" t="str">
        <f t="shared" si="6"/>
        <v>30-44</v>
      </c>
      <c r="L157" s="1" t="str">
        <f t="shared" si="7"/>
        <v>Medium</v>
      </c>
      <c r="M157" s="1" t="str">
        <f t="shared" si="8"/>
        <v>Yes</v>
      </c>
    </row>
    <row r="158" spans="1:13" x14ac:dyDescent="0.35">
      <c r="A158">
        <v>159</v>
      </c>
      <c r="B158">
        <v>78</v>
      </c>
      <c r="C158" t="s">
        <v>10</v>
      </c>
      <c r="D158" t="s">
        <v>32</v>
      </c>
      <c r="E158" t="s">
        <v>33</v>
      </c>
      <c r="F158">
        <v>18000</v>
      </c>
      <c r="G158">
        <v>18</v>
      </c>
      <c r="H158" t="s">
        <v>18</v>
      </c>
      <c r="I158" t="s">
        <v>19</v>
      </c>
      <c r="J158">
        <v>2</v>
      </c>
      <c r="K158" s="1" t="str">
        <f t="shared" si="6"/>
        <v>75+</v>
      </c>
      <c r="L158" s="1" t="str">
        <f t="shared" si="7"/>
        <v>High</v>
      </c>
      <c r="M158" s="1" t="str">
        <f t="shared" si="8"/>
        <v>No</v>
      </c>
    </row>
    <row r="159" spans="1:13" x14ac:dyDescent="0.35">
      <c r="A159">
        <v>160</v>
      </c>
      <c r="B159">
        <v>25</v>
      </c>
      <c r="C159" t="s">
        <v>15</v>
      </c>
      <c r="D159" t="s">
        <v>34</v>
      </c>
      <c r="E159" t="s">
        <v>35</v>
      </c>
      <c r="F159">
        <v>100</v>
      </c>
      <c r="G159">
        <v>11</v>
      </c>
      <c r="H159" t="s">
        <v>13</v>
      </c>
      <c r="I159" t="s">
        <v>14</v>
      </c>
      <c r="J159">
        <v>5</v>
      </c>
      <c r="K159" s="1" t="str">
        <f t="shared" si="6"/>
        <v>18-29</v>
      </c>
      <c r="L159" s="1" t="str">
        <f t="shared" si="7"/>
        <v>Low</v>
      </c>
      <c r="M159" s="1" t="str">
        <f t="shared" si="8"/>
        <v>Yes</v>
      </c>
    </row>
    <row r="160" spans="1:13" x14ac:dyDescent="0.35">
      <c r="A160">
        <v>161</v>
      </c>
      <c r="B160">
        <v>52</v>
      </c>
      <c r="C160" t="s">
        <v>10</v>
      </c>
      <c r="D160" t="s">
        <v>36</v>
      </c>
      <c r="E160" t="s">
        <v>37</v>
      </c>
      <c r="F160">
        <v>800</v>
      </c>
      <c r="G160">
        <v>12</v>
      </c>
      <c r="H160" t="s">
        <v>13</v>
      </c>
      <c r="I160" t="s">
        <v>19</v>
      </c>
      <c r="J160">
        <v>4</v>
      </c>
      <c r="K160" s="1" t="str">
        <f t="shared" si="6"/>
        <v>45-59</v>
      </c>
      <c r="L160" s="1" t="str">
        <f t="shared" si="7"/>
        <v>Low</v>
      </c>
      <c r="M160" s="1" t="str">
        <f t="shared" si="8"/>
        <v>Yes</v>
      </c>
    </row>
    <row r="161" spans="1:13" x14ac:dyDescent="0.35">
      <c r="A161">
        <v>162</v>
      </c>
      <c r="B161">
        <v>58</v>
      </c>
      <c r="C161" t="s">
        <v>15</v>
      </c>
      <c r="D161" t="s">
        <v>38</v>
      </c>
      <c r="E161" t="s">
        <v>39</v>
      </c>
      <c r="F161">
        <v>20000</v>
      </c>
      <c r="G161">
        <v>19</v>
      </c>
      <c r="H161" t="s">
        <v>13</v>
      </c>
      <c r="I161" t="s">
        <v>14</v>
      </c>
      <c r="J161">
        <v>3</v>
      </c>
      <c r="K161" s="1" t="str">
        <f t="shared" si="6"/>
        <v>45-59</v>
      </c>
      <c r="L161" s="1" t="str">
        <f t="shared" si="7"/>
        <v>High</v>
      </c>
      <c r="M161" s="1" t="str">
        <f t="shared" si="8"/>
        <v>No</v>
      </c>
    </row>
    <row r="162" spans="1:13" x14ac:dyDescent="0.35">
      <c r="A162">
        <v>163</v>
      </c>
      <c r="B162">
        <v>32</v>
      </c>
      <c r="C162" t="s">
        <v>10</v>
      </c>
      <c r="D162" t="s">
        <v>40</v>
      </c>
      <c r="E162" t="s">
        <v>41</v>
      </c>
      <c r="F162">
        <v>12000</v>
      </c>
      <c r="G162">
        <v>13</v>
      </c>
      <c r="H162" t="s">
        <v>13</v>
      </c>
      <c r="I162" t="s">
        <v>14</v>
      </c>
      <c r="J162">
        <v>4</v>
      </c>
      <c r="K162" s="1" t="str">
        <f t="shared" si="6"/>
        <v>30-44</v>
      </c>
      <c r="L162" s="1" t="str">
        <f t="shared" si="7"/>
        <v>High</v>
      </c>
      <c r="M162" s="1" t="str">
        <f t="shared" si="8"/>
        <v>Yes</v>
      </c>
    </row>
    <row r="163" spans="1:13" x14ac:dyDescent="0.35">
      <c r="A163">
        <v>164</v>
      </c>
      <c r="B163">
        <v>55</v>
      </c>
      <c r="C163" t="s">
        <v>15</v>
      </c>
      <c r="D163" t="s">
        <v>42</v>
      </c>
      <c r="E163" t="s">
        <v>43</v>
      </c>
      <c r="F163">
        <v>6000</v>
      </c>
      <c r="G163">
        <v>14</v>
      </c>
      <c r="H163" t="s">
        <v>13</v>
      </c>
      <c r="I163" t="s">
        <v>14</v>
      </c>
      <c r="J163">
        <v>3</v>
      </c>
      <c r="K163" s="1" t="str">
        <f t="shared" si="6"/>
        <v>45-59</v>
      </c>
      <c r="L163" s="1" t="str">
        <f t="shared" si="7"/>
        <v>Medium</v>
      </c>
      <c r="M163" s="1" t="str">
        <f t="shared" si="8"/>
        <v>No</v>
      </c>
    </row>
    <row r="164" spans="1:13" x14ac:dyDescent="0.35">
      <c r="A164">
        <v>165</v>
      </c>
      <c r="B164">
        <v>65</v>
      </c>
      <c r="C164" t="s">
        <v>10</v>
      </c>
      <c r="D164" t="s">
        <v>44</v>
      </c>
      <c r="E164" t="s">
        <v>45</v>
      </c>
      <c r="F164">
        <v>4000</v>
      </c>
      <c r="G164">
        <v>15</v>
      </c>
      <c r="H164" t="s">
        <v>13</v>
      </c>
      <c r="I164" t="s">
        <v>19</v>
      </c>
      <c r="J164">
        <v>4</v>
      </c>
      <c r="K164" s="1" t="str">
        <f t="shared" si="6"/>
        <v>60-74</v>
      </c>
      <c r="L164" s="1" t="str">
        <f t="shared" si="7"/>
        <v>Medium</v>
      </c>
      <c r="M164" s="1" t="str">
        <f t="shared" si="8"/>
        <v>Yes</v>
      </c>
    </row>
    <row r="165" spans="1:13" x14ac:dyDescent="0.35">
      <c r="A165">
        <v>166</v>
      </c>
      <c r="B165">
        <v>55</v>
      </c>
      <c r="C165" t="s">
        <v>10</v>
      </c>
      <c r="D165" t="s">
        <v>11</v>
      </c>
      <c r="E165" t="s">
        <v>12</v>
      </c>
      <c r="F165">
        <v>15000</v>
      </c>
      <c r="G165">
        <v>16</v>
      </c>
      <c r="H165" t="s">
        <v>18</v>
      </c>
      <c r="I165" t="s">
        <v>14</v>
      </c>
      <c r="J165">
        <v>3</v>
      </c>
      <c r="K165" s="1" t="str">
        <f t="shared" si="6"/>
        <v>45-59</v>
      </c>
      <c r="L165" s="1" t="str">
        <f t="shared" si="7"/>
        <v>High</v>
      </c>
      <c r="M165" s="1" t="str">
        <f t="shared" si="8"/>
        <v>No</v>
      </c>
    </row>
    <row r="166" spans="1:13" x14ac:dyDescent="0.35">
      <c r="A166">
        <v>167</v>
      </c>
      <c r="B166">
        <v>62</v>
      </c>
      <c r="C166" t="s">
        <v>15</v>
      </c>
      <c r="D166" t="s">
        <v>16</v>
      </c>
      <c r="E166" t="s">
        <v>17</v>
      </c>
      <c r="F166">
        <v>2000</v>
      </c>
      <c r="G166">
        <v>14</v>
      </c>
      <c r="H166" t="s">
        <v>13</v>
      </c>
      <c r="I166" t="s">
        <v>19</v>
      </c>
      <c r="J166">
        <v>4</v>
      </c>
      <c r="K166" s="1" t="str">
        <f t="shared" si="6"/>
        <v>60-74</v>
      </c>
      <c r="L166" s="1" t="str">
        <f t="shared" si="7"/>
        <v>Medium</v>
      </c>
      <c r="M166" s="1" t="str">
        <f t="shared" si="8"/>
        <v>Yes</v>
      </c>
    </row>
    <row r="167" spans="1:13" x14ac:dyDescent="0.35">
      <c r="A167">
        <v>168</v>
      </c>
      <c r="B167">
        <v>35</v>
      </c>
      <c r="C167" t="s">
        <v>10</v>
      </c>
      <c r="D167" t="s">
        <v>20</v>
      </c>
      <c r="E167" t="s">
        <v>21</v>
      </c>
      <c r="F167">
        <v>500</v>
      </c>
      <c r="G167">
        <v>12</v>
      </c>
      <c r="H167" t="s">
        <v>18</v>
      </c>
      <c r="I167" t="s">
        <v>14</v>
      </c>
      <c r="J167">
        <v>5</v>
      </c>
      <c r="K167" s="1" t="str">
        <f t="shared" si="6"/>
        <v>30-44</v>
      </c>
      <c r="L167" s="1" t="str">
        <f t="shared" si="7"/>
        <v>Low</v>
      </c>
      <c r="M167" s="1" t="str">
        <f t="shared" si="8"/>
        <v>Yes</v>
      </c>
    </row>
    <row r="168" spans="1:13" x14ac:dyDescent="0.35">
      <c r="A168">
        <v>169</v>
      </c>
      <c r="B168">
        <v>78</v>
      </c>
      <c r="C168" t="s">
        <v>15</v>
      </c>
      <c r="D168" t="s">
        <v>22</v>
      </c>
      <c r="E168" t="s">
        <v>23</v>
      </c>
      <c r="F168">
        <v>10000</v>
      </c>
      <c r="G168">
        <v>18</v>
      </c>
      <c r="H168" t="s">
        <v>13</v>
      </c>
      <c r="I168" t="s">
        <v>19</v>
      </c>
      <c r="J168">
        <v>2</v>
      </c>
      <c r="K168" s="1" t="str">
        <f t="shared" si="6"/>
        <v>75+</v>
      </c>
      <c r="L168" s="1" t="str">
        <f t="shared" si="7"/>
        <v>High</v>
      </c>
      <c r="M168" s="1" t="str">
        <f t="shared" si="8"/>
        <v>No</v>
      </c>
    </row>
    <row r="169" spans="1:13" x14ac:dyDescent="0.35">
      <c r="A169">
        <v>170</v>
      </c>
      <c r="B169">
        <v>53</v>
      </c>
      <c r="C169" t="s">
        <v>10</v>
      </c>
      <c r="D169" t="s">
        <v>24</v>
      </c>
      <c r="E169" t="s">
        <v>25</v>
      </c>
      <c r="F169">
        <v>25000</v>
      </c>
      <c r="G169">
        <v>21</v>
      </c>
      <c r="H169" t="s">
        <v>18</v>
      </c>
      <c r="I169" t="s">
        <v>14</v>
      </c>
      <c r="J169">
        <v>4</v>
      </c>
      <c r="K169" s="1" t="str">
        <f t="shared" si="6"/>
        <v>45-59</v>
      </c>
      <c r="L169" s="1" t="str">
        <f t="shared" si="7"/>
        <v>High</v>
      </c>
      <c r="M169" s="1" t="str">
        <f t="shared" si="8"/>
        <v>Yes</v>
      </c>
    </row>
    <row r="170" spans="1:13" x14ac:dyDescent="0.35">
      <c r="A170">
        <v>171</v>
      </c>
      <c r="B170">
        <v>72</v>
      </c>
      <c r="C170" t="s">
        <v>15</v>
      </c>
      <c r="D170" t="s">
        <v>26</v>
      </c>
      <c r="E170" t="s">
        <v>27</v>
      </c>
      <c r="F170">
        <v>1000</v>
      </c>
      <c r="G170">
        <v>13</v>
      </c>
      <c r="H170" t="s">
        <v>13</v>
      </c>
      <c r="I170" t="s">
        <v>19</v>
      </c>
      <c r="J170">
        <v>4</v>
      </c>
      <c r="K170" s="1" t="str">
        <f t="shared" si="6"/>
        <v>60-74</v>
      </c>
      <c r="L170" s="1" t="str">
        <f t="shared" si="7"/>
        <v>Low</v>
      </c>
      <c r="M170" s="1" t="str">
        <f t="shared" si="8"/>
        <v>Yes</v>
      </c>
    </row>
    <row r="171" spans="1:13" x14ac:dyDescent="0.35">
      <c r="A171">
        <v>172</v>
      </c>
      <c r="B171">
        <v>60</v>
      </c>
      <c r="C171" t="s">
        <v>10</v>
      </c>
      <c r="D171" t="s">
        <v>28</v>
      </c>
      <c r="E171" t="s">
        <v>29</v>
      </c>
      <c r="F171">
        <v>8000</v>
      </c>
      <c r="G171">
        <v>15</v>
      </c>
      <c r="H171" t="s">
        <v>18</v>
      </c>
      <c r="I171" t="s">
        <v>14</v>
      </c>
      <c r="J171">
        <v>3</v>
      </c>
      <c r="K171" s="1" t="str">
        <f t="shared" si="6"/>
        <v>60-74</v>
      </c>
      <c r="L171" s="1" t="str">
        <f t="shared" si="7"/>
        <v>Medium</v>
      </c>
      <c r="M171" s="1" t="str">
        <f t="shared" si="8"/>
        <v>No</v>
      </c>
    </row>
    <row r="172" spans="1:13" x14ac:dyDescent="0.35">
      <c r="A172">
        <v>173</v>
      </c>
      <c r="B172">
        <v>45</v>
      </c>
      <c r="C172" t="s">
        <v>15</v>
      </c>
      <c r="D172" t="s">
        <v>30</v>
      </c>
      <c r="E172" t="s">
        <v>31</v>
      </c>
      <c r="F172">
        <v>3000</v>
      </c>
      <c r="G172">
        <v>17</v>
      </c>
      <c r="H172" t="s">
        <v>13</v>
      </c>
      <c r="I172" t="s">
        <v>14</v>
      </c>
      <c r="J172">
        <v>4</v>
      </c>
      <c r="K172" s="1" t="str">
        <f t="shared" si="6"/>
        <v>45-59</v>
      </c>
      <c r="L172" s="1" t="str">
        <f t="shared" si="7"/>
        <v>Medium</v>
      </c>
      <c r="M172" s="1" t="str">
        <f t="shared" si="8"/>
        <v>Yes</v>
      </c>
    </row>
    <row r="173" spans="1:13" x14ac:dyDescent="0.35">
      <c r="A173">
        <v>174</v>
      </c>
      <c r="B173">
        <v>75</v>
      </c>
      <c r="C173" t="s">
        <v>10</v>
      </c>
      <c r="D173" t="s">
        <v>32</v>
      </c>
      <c r="E173" t="s">
        <v>33</v>
      </c>
      <c r="F173">
        <v>18000</v>
      </c>
      <c r="G173">
        <v>19</v>
      </c>
      <c r="H173" t="s">
        <v>18</v>
      </c>
      <c r="I173" t="s">
        <v>19</v>
      </c>
      <c r="J173">
        <v>2</v>
      </c>
      <c r="K173" s="1" t="str">
        <f t="shared" si="6"/>
        <v>75+</v>
      </c>
      <c r="L173" s="1" t="str">
        <f t="shared" si="7"/>
        <v>High</v>
      </c>
      <c r="M173" s="1" t="str">
        <f t="shared" si="8"/>
        <v>No</v>
      </c>
    </row>
    <row r="174" spans="1:13" x14ac:dyDescent="0.35">
      <c r="A174">
        <v>175</v>
      </c>
      <c r="B174">
        <v>28</v>
      </c>
      <c r="C174" t="s">
        <v>15</v>
      </c>
      <c r="D174" t="s">
        <v>34</v>
      </c>
      <c r="E174" t="s">
        <v>35</v>
      </c>
      <c r="F174">
        <v>100</v>
      </c>
      <c r="G174">
        <v>12</v>
      </c>
      <c r="H174" t="s">
        <v>13</v>
      </c>
      <c r="I174" t="s">
        <v>14</v>
      </c>
      <c r="J174">
        <v>5</v>
      </c>
      <c r="K174" s="1" t="str">
        <f t="shared" si="6"/>
        <v>18-29</v>
      </c>
      <c r="L174" s="1" t="str">
        <f t="shared" si="7"/>
        <v>Low</v>
      </c>
      <c r="M174" s="1" t="str">
        <f t="shared" si="8"/>
        <v>Yes</v>
      </c>
    </row>
    <row r="175" spans="1:13" x14ac:dyDescent="0.35">
      <c r="A175">
        <v>176</v>
      </c>
      <c r="B175">
        <v>52</v>
      </c>
      <c r="C175" t="s">
        <v>10</v>
      </c>
      <c r="D175" t="s">
        <v>36</v>
      </c>
      <c r="E175" t="s">
        <v>37</v>
      </c>
      <c r="F175">
        <v>800</v>
      </c>
      <c r="G175">
        <v>13</v>
      </c>
      <c r="H175" t="s">
        <v>13</v>
      </c>
      <c r="I175" t="s">
        <v>19</v>
      </c>
      <c r="J175">
        <v>4</v>
      </c>
      <c r="K175" s="1" t="str">
        <f t="shared" si="6"/>
        <v>45-59</v>
      </c>
      <c r="L175" s="1" t="str">
        <f t="shared" si="7"/>
        <v>Low</v>
      </c>
      <c r="M175" s="1" t="str">
        <f t="shared" si="8"/>
        <v>Yes</v>
      </c>
    </row>
    <row r="176" spans="1:13" x14ac:dyDescent="0.35">
      <c r="A176">
        <v>177</v>
      </c>
      <c r="B176">
        <v>67</v>
      </c>
      <c r="C176" t="s">
        <v>15</v>
      </c>
      <c r="D176" t="s">
        <v>38</v>
      </c>
      <c r="E176" t="s">
        <v>39</v>
      </c>
      <c r="F176">
        <v>20000</v>
      </c>
      <c r="G176">
        <v>20</v>
      </c>
      <c r="H176" t="s">
        <v>13</v>
      </c>
      <c r="I176" t="s">
        <v>14</v>
      </c>
      <c r="J176">
        <v>3</v>
      </c>
      <c r="K176" s="1" t="str">
        <f t="shared" si="6"/>
        <v>60-74</v>
      </c>
      <c r="L176" s="1" t="str">
        <f t="shared" si="7"/>
        <v>High</v>
      </c>
      <c r="M176" s="1" t="str">
        <f t="shared" si="8"/>
        <v>No</v>
      </c>
    </row>
    <row r="177" spans="1:13" x14ac:dyDescent="0.35">
      <c r="A177">
        <v>178</v>
      </c>
      <c r="B177">
        <v>35</v>
      </c>
      <c r="C177" t="s">
        <v>10</v>
      </c>
      <c r="D177" t="s">
        <v>40</v>
      </c>
      <c r="E177" t="s">
        <v>41</v>
      </c>
      <c r="F177">
        <v>12000</v>
      </c>
      <c r="G177">
        <v>14</v>
      </c>
      <c r="H177" t="s">
        <v>13</v>
      </c>
      <c r="I177" t="s">
        <v>14</v>
      </c>
      <c r="J177">
        <v>4</v>
      </c>
      <c r="K177" s="1" t="str">
        <f t="shared" si="6"/>
        <v>30-44</v>
      </c>
      <c r="L177" s="1" t="str">
        <f t="shared" si="7"/>
        <v>High</v>
      </c>
      <c r="M177" s="1" t="str">
        <f t="shared" si="8"/>
        <v>Yes</v>
      </c>
    </row>
    <row r="178" spans="1:13" x14ac:dyDescent="0.35">
      <c r="A178">
        <v>179</v>
      </c>
      <c r="B178">
        <v>50</v>
      </c>
      <c r="C178" t="s">
        <v>15</v>
      </c>
      <c r="D178" t="s">
        <v>42</v>
      </c>
      <c r="E178" t="s">
        <v>43</v>
      </c>
      <c r="F178">
        <v>6000</v>
      </c>
      <c r="G178">
        <v>15</v>
      </c>
      <c r="H178" t="s">
        <v>13</v>
      </c>
      <c r="I178" t="s">
        <v>14</v>
      </c>
      <c r="J178">
        <v>3</v>
      </c>
      <c r="K178" s="1" t="str">
        <f t="shared" si="6"/>
        <v>45-59</v>
      </c>
      <c r="L178" s="1" t="str">
        <f t="shared" si="7"/>
        <v>Medium</v>
      </c>
      <c r="M178" s="1" t="str">
        <f t="shared" si="8"/>
        <v>No</v>
      </c>
    </row>
    <row r="179" spans="1:13" x14ac:dyDescent="0.35">
      <c r="A179">
        <v>180</v>
      </c>
      <c r="B179">
        <v>60</v>
      </c>
      <c r="C179" t="s">
        <v>10</v>
      </c>
      <c r="D179" t="s">
        <v>44</v>
      </c>
      <c r="E179" t="s">
        <v>45</v>
      </c>
      <c r="F179">
        <v>4000</v>
      </c>
      <c r="G179">
        <v>16</v>
      </c>
      <c r="H179" t="s">
        <v>13</v>
      </c>
      <c r="I179" t="s">
        <v>19</v>
      </c>
      <c r="J179">
        <v>4</v>
      </c>
      <c r="K179" s="1" t="str">
        <f t="shared" si="6"/>
        <v>60-74</v>
      </c>
      <c r="L179" s="1" t="str">
        <f t="shared" si="7"/>
        <v>Medium</v>
      </c>
      <c r="M179" s="1" t="str">
        <f t="shared" si="8"/>
        <v>Yes</v>
      </c>
    </row>
    <row r="180" spans="1:13" x14ac:dyDescent="0.35">
      <c r="A180">
        <v>181</v>
      </c>
      <c r="B180">
        <v>48</v>
      </c>
      <c r="C180" t="s">
        <v>10</v>
      </c>
      <c r="D180" t="s">
        <v>11</v>
      </c>
      <c r="E180" t="s">
        <v>12</v>
      </c>
      <c r="F180">
        <v>15000</v>
      </c>
      <c r="G180">
        <v>17</v>
      </c>
      <c r="H180" t="s">
        <v>18</v>
      </c>
      <c r="I180" t="s">
        <v>14</v>
      </c>
      <c r="J180">
        <v>4</v>
      </c>
      <c r="K180" s="1" t="str">
        <f t="shared" si="6"/>
        <v>45-59</v>
      </c>
      <c r="L180" s="1" t="str">
        <f t="shared" si="7"/>
        <v>High</v>
      </c>
      <c r="M180" s="1" t="str">
        <f t="shared" si="8"/>
        <v>Yes</v>
      </c>
    </row>
    <row r="181" spans="1:13" x14ac:dyDescent="0.35">
      <c r="A181">
        <v>183</v>
      </c>
      <c r="B181">
        <v>30</v>
      </c>
      <c r="C181" t="s">
        <v>10</v>
      </c>
      <c r="D181" t="s">
        <v>20</v>
      </c>
      <c r="E181" t="s">
        <v>21</v>
      </c>
      <c r="F181">
        <v>500</v>
      </c>
      <c r="G181">
        <v>13</v>
      </c>
      <c r="H181" t="s">
        <v>13</v>
      </c>
      <c r="I181" t="s">
        <v>14</v>
      </c>
      <c r="J181">
        <v>5</v>
      </c>
      <c r="K181" s="1" t="str">
        <f t="shared" si="6"/>
        <v>30-44</v>
      </c>
      <c r="L181" s="1" t="str">
        <f t="shared" si="7"/>
        <v>Low</v>
      </c>
      <c r="M181" s="1" t="str">
        <f t="shared" si="8"/>
        <v>Yes</v>
      </c>
    </row>
    <row r="182" spans="1:13" x14ac:dyDescent="0.35">
      <c r="A182">
        <v>184</v>
      </c>
      <c r="B182">
        <v>70</v>
      </c>
      <c r="C182" t="s">
        <v>15</v>
      </c>
      <c r="D182" t="s">
        <v>22</v>
      </c>
      <c r="E182" t="s">
        <v>23</v>
      </c>
      <c r="F182">
        <v>10000</v>
      </c>
      <c r="G182">
        <v>19</v>
      </c>
      <c r="H182" t="s">
        <v>18</v>
      </c>
      <c r="I182" t="s">
        <v>19</v>
      </c>
      <c r="J182">
        <v>2</v>
      </c>
      <c r="K182" s="1" t="str">
        <f t="shared" si="6"/>
        <v>60-74</v>
      </c>
      <c r="L182" s="1" t="str">
        <f t="shared" si="7"/>
        <v>High</v>
      </c>
      <c r="M182" s="1" t="str">
        <f t="shared" si="8"/>
        <v>No</v>
      </c>
    </row>
    <row r="183" spans="1:13" x14ac:dyDescent="0.35">
      <c r="A183">
        <v>185</v>
      </c>
      <c r="B183">
        <v>55</v>
      </c>
      <c r="C183" t="s">
        <v>10</v>
      </c>
      <c r="D183" t="s">
        <v>24</v>
      </c>
      <c r="E183" t="s">
        <v>25</v>
      </c>
      <c r="F183">
        <v>25000</v>
      </c>
      <c r="G183">
        <v>22</v>
      </c>
      <c r="H183" t="s">
        <v>13</v>
      </c>
      <c r="I183" t="s">
        <v>14</v>
      </c>
      <c r="J183">
        <v>4</v>
      </c>
      <c r="K183" s="1" t="str">
        <f t="shared" si="6"/>
        <v>45-59</v>
      </c>
      <c r="L183" s="1" t="str">
        <f t="shared" si="7"/>
        <v>High</v>
      </c>
      <c r="M183" s="1" t="str">
        <f t="shared" si="8"/>
        <v>Yes</v>
      </c>
    </row>
    <row r="184" spans="1:13" x14ac:dyDescent="0.35">
      <c r="A184">
        <v>186</v>
      </c>
      <c r="B184">
        <v>68</v>
      </c>
      <c r="C184" t="s">
        <v>15</v>
      </c>
      <c r="D184" t="s">
        <v>26</v>
      </c>
      <c r="E184" t="s">
        <v>27</v>
      </c>
      <c r="F184">
        <v>1000</v>
      </c>
      <c r="G184">
        <v>14</v>
      </c>
      <c r="H184" t="s">
        <v>13</v>
      </c>
      <c r="I184" t="s">
        <v>19</v>
      </c>
      <c r="J184">
        <v>4</v>
      </c>
      <c r="K184" s="1" t="str">
        <f t="shared" si="6"/>
        <v>60-74</v>
      </c>
      <c r="L184" s="1" t="str">
        <f t="shared" si="7"/>
        <v>Low</v>
      </c>
      <c r="M184" s="1" t="str">
        <f t="shared" si="8"/>
        <v>Yes</v>
      </c>
    </row>
    <row r="185" spans="1:13" x14ac:dyDescent="0.35">
      <c r="A185">
        <v>187</v>
      </c>
      <c r="B185">
        <v>45</v>
      </c>
      <c r="C185" t="s">
        <v>10</v>
      </c>
      <c r="D185" t="s">
        <v>28</v>
      </c>
      <c r="E185" t="s">
        <v>29</v>
      </c>
      <c r="F185">
        <v>8000</v>
      </c>
      <c r="G185">
        <v>16</v>
      </c>
      <c r="H185" t="s">
        <v>13</v>
      </c>
      <c r="I185" t="s">
        <v>14</v>
      </c>
      <c r="J185">
        <v>3</v>
      </c>
      <c r="K185" s="1" t="str">
        <f t="shared" si="6"/>
        <v>45-59</v>
      </c>
      <c r="L185" s="1" t="str">
        <f t="shared" si="7"/>
        <v>Medium</v>
      </c>
      <c r="M185" s="1" t="str">
        <f t="shared" si="8"/>
        <v>No</v>
      </c>
    </row>
    <row r="186" spans="1:13" x14ac:dyDescent="0.35">
      <c r="A186">
        <v>188</v>
      </c>
      <c r="B186">
        <v>40</v>
      </c>
      <c r="C186" t="s">
        <v>15</v>
      </c>
      <c r="D186" t="s">
        <v>30</v>
      </c>
      <c r="E186" t="s">
        <v>31</v>
      </c>
      <c r="F186">
        <v>3000</v>
      </c>
      <c r="G186">
        <v>18</v>
      </c>
      <c r="H186" t="s">
        <v>13</v>
      </c>
      <c r="I186" t="s">
        <v>14</v>
      </c>
      <c r="J186">
        <v>4</v>
      </c>
      <c r="K186" s="1" t="str">
        <f t="shared" si="6"/>
        <v>30-44</v>
      </c>
      <c r="L186" s="1" t="str">
        <f t="shared" si="7"/>
        <v>Medium</v>
      </c>
      <c r="M186" s="1" t="str">
        <f t="shared" si="8"/>
        <v>Yes</v>
      </c>
    </row>
    <row r="187" spans="1:13" x14ac:dyDescent="0.35">
      <c r="A187">
        <v>189</v>
      </c>
      <c r="B187">
        <v>78</v>
      </c>
      <c r="C187" t="s">
        <v>10</v>
      </c>
      <c r="D187" t="s">
        <v>32</v>
      </c>
      <c r="E187" t="s">
        <v>33</v>
      </c>
      <c r="F187">
        <v>18000</v>
      </c>
      <c r="G187">
        <v>20</v>
      </c>
      <c r="H187" t="s">
        <v>18</v>
      </c>
      <c r="I187" t="s">
        <v>19</v>
      </c>
      <c r="J187">
        <v>2</v>
      </c>
      <c r="K187" s="1" t="str">
        <f t="shared" si="6"/>
        <v>75+</v>
      </c>
      <c r="L187" s="1" t="str">
        <f t="shared" si="7"/>
        <v>High</v>
      </c>
      <c r="M187" s="1" t="str">
        <f t="shared" si="8"/>
        <v>No</v>
      </c>
    </row>
    <row r="188" spans="1:13" x14ac:dyDescent="0.35">
      <c r="A188">
        <v>190</v>
      </c>
      <c r="B188">
        <v>25</v>
      </c>
      <c r="C188" t="s">
        <v>15</v>
      </c>
      <c r="D188" t="s">
        <v>34</v>
      </c>
      <c r="E188" t="s">
        <v>35</v>
      </c>
      <c r="F188">
        <v>100</v>
      </c>
      <c r="G188">
        <v>13</v>
      </c>
      <c r="H188" t="s">
        <v>13</v>
      </c>
      <c r="I188" t="s">
        <v>14</v>
      </c>
      <c r="J188">
        <v>5</v>
      </c>
      <c r="K188" s="1" t="str">
        <f t="shared" si="6"/>
        <v>18-29</v>
      </c>
      <c r="L188" s="1" t="str">
        <f t="shared" si="7"/>
        <v>Low</v>
      </c>
      <c r="M188" s="1" t="str">
        <f t="shared" si="8"/>
        <v>Yes</v>
      </c>
    </row>
    <row r="189" spans="1:13" x14ac:dyDescent="0.35">
      <c r="A189">
        <v>191</v>
      </c>
      <c r="B189">
        <v>52</v>
      </c>
      <c r="C189" t="s">
        <v>10</v>
      </c>
      <c r="D189" t="s">
        <v>36</v>
      </c>
      <c r="E189" t="s">
        <v>37</v>
      </c>
      <c r="F189">
        <v>800</v>
      </c>
      <c r="G189">
        <v>14</v>
      </c>
      <c r="H189" t="s">
        <v>13</v>
      </c>
      <c r="I189" t="s">
        <v>19</v>
      </c>
      <c r="J189">
        <v>4</v>
      </c>
      <c r="K189" s="1" t="str">
        <f t="shared" si="6"/>
        <v>45-59</v>
      </c>
      <c r="L189" s="1" t="str">
        <f t="shared" si="7"/>
        <v>Low</v>
      </c>
      <c r="M189" s="1" t="str">
        <f t="shared" si="8"/>
        <v>Yes</v>
      </c>
    </row>
    <row r="190" spans="1:13" x14ac:dyDescent="0.35">
      <c r="A190">
        <v>192</v>
      </c>
      <c r="B190">
        <v>58</v>
      </c>
      <c r="C190" t="s">
        <v>15</v>
      </c>
      <c r="D190" t="s">
        <v>38</v>
      </c>
      <c r="E190" t="s">
        <v>39</v>
      </c>
      <c r="F190">
        <v>20000</v>
      </c>
      <c r="G190">
        <v>21</v>
      </c>
      <c r="H190" t="s">
        <v>13</v>
      </c>
      <c r="I190" t="s">
        <v>14</v>
      </c>
      <c r="J190">
        <v>3</v>
      </c>
      <c r="K190" s="1" t="str">
        <f t="shared" si="6"/>
        <v>45-59</v>
      </c>
      <c r="L190" s="1" t="str">
        <f t="shared" si="7"/>
        <v>High</v>
      </c>
      <c r="M190" s="1" t="str">
        <f t="shared" si="8"/>
        <v>No</v>
      </c>
    </row>
    <row r="191" spans="1:13" x14ac:dyDescent="0.35">
      <c r="A191">
        <v>193</v>
      </c>
      <c r="B191">
        <v>32</v>
      </c>
      <c r="C191" t="s">
        <v>10</v>
      </c>
      <c r="D191" t="s">
        <v>40</v>
      </c>
      <c r="E191" t="s">
        <v>41</v>
      </c>
      <c r="F191">
        <v>12000</v>
      </c>
      <c r="G191">
        <v>15</v>
      </c>
      <c r="H191" t="s">
        <v>13</v>
      </c>
      <c r="I191" t="s">
        <v>14</v>
      </c>
      <c r="J191">
        <v>4</v>
      </c>
      <c r="K191" s="1" t="str">
        <f t="shared" si="6"/>
        <v>30-44</v>
      </c>
      <c r="L191" s="1" t="str">
        <f t="shared" si="7"/>
        <v>High</v>
      </c>
      <c r="M191" s="1" t="str">
        <f t="shared" si="8"/>
        <v>Yes</v>
      </c>
    </row>
    <row r="192" spans="1:13" x14ac:dyDescent="0.35">
      <c r="A192">
        <v>194</v>
      </c>
      <c r="B192">
        <v>55</v>
      </c>
      <c r="C192" t="s">
        <v>15</v>
      </c>
      <c r="D192" t="s">
        <v>42</v>
      </c>
      <c r="E192" t="s">
        <v>43</v>
      </c>
      <c r="F192">
        <v>6000</v>
      </c>
      <c r="G192">
        <v>16</v>
      </c>
      <c r="H192" t="s">
        <v>13</v>
      </c>
      <c r="I192" t="s">
        <v>14</v>
      </c>
      <c r="J192">
        <v>3</v>
      </c>
      <c r="K192" s="1" t="str">
        <f t="shared" si="6"/>
        <v>45-59</v>
      </c>
      <c r="L192" s="1" t="str">
        <f t="shared" si="7"/>
        <v>Medium</v>
      </c>
      <c r="M192" s="1" t="str">
        <f t="shared" si="8"/>
        <v>No</v>
      </c>
    </row>
    <row r="193" spans="1:13" x14ac:dyDescent="0.35">
      <c r="A193">
        <v>195</v>
      </c>
      <c r="B193">
        <v>65</v>
      </c>
      <c r="C193" t="s">
        <v>10</v>
      </c>
      <c r="D193" t="s">
        <v>44</v>
      </c>
      <c r="E193" t="s">
        <v>45</v>
      </c>
      <c r="F193">
        <v>4000</v>
      </c>
      <c r="G193">
        <v>17</v>
      </c>
      <c r="H193" t="s">
        <v>13</v>
      </c>
      <c r="I193" t="s">
        <v>19</v>
      </c>
      <c r="J193">
        <v>4</v>
      </c>
      <c r="K193" s="1" t="str">
        <f t="shared" si="6"/>
        <v>60-74</v>
      </c>
      <c r="L193" s="1" t="str">
        <f t="shared" si="7"/>
        <v>Medium</v>
      </c>
      <c r="M193" s="1" t="str">
        <f t="shared" si="8"/>
        <v>Yes</v>
      </c>
    </row>
    <row r="194" spans="1:13" x14ac:dyDescent="0.35">
      <c r="A194">
        <v>196</v>
      </c>
      <c r="B194">
        <v>55</v>
      </c>
      <c r="C194" t="s">
        <v>10</v>
      </c>
      <c r="D194" t="s">
        <v>11</v>
      </c>
      <c r="E194" t="s">
        <v>12</v>
      </c>
      <c r="F194">
        <v>15000</v>
      </c>
      <c r="G194">
        <v>18</v>
      </c>
      <c r="H194" t="s">
        <v>18</v>
      </c>
      <c r="I194" t="s">
        <v>14</v>
      </c>
      <c r="J194">
        <v>3</v>
      </c>
      <c r="K194" s="1" t="str">
        <f t="shared" si="6"/>
        <v>45-59</v>
      </c>
      <c r="L194" s="1" t="str">
        <f t="shared" si="7"/>
        <v>High</v>
      </c>
      <c r="M194" s="1" t="str">
        <f t="shared" si="8"/>
        <v>No</v>
      </c>
    </row>
    <row r="195" spans="1:13" x14ac:dyDescent="0.35">
      <c r="A195">
        <v>197</v>
      </c>
      <c r="B195">
        <v>62</v>
      </c>
      <c r="C195" t="s">
        <v>15</v>
      </c>
      <c r="D195" t="s">
        <v>16</v>
      </c>
      <c r="E195" t="s">
        <v>17</v>
      </c>
      <c r="F195">
        <v>2000</v>
      </c>
      <c r="G195">
        <v>16</v>
      </c>
      <c r="H195" t="s">
        <v>13</v>
      </c>
      <c r="I195" t="s">
        <v>19</v>
      </c>
      <c r="J195">
        <v>4</v>
      </c>
      <c r="K195" s="1" t="str">
        <f t="shared" ref="K195:K258" si="9">IF(B195&lt;30,"18-29",IF(B195&lt;45,"30-44",IF(B195&lt;60,"45-59",IF(B195&lt;75,"60-74","75+"))))</f>
        <v>60-74</v>
      </c>
      <c r="L195" s="1" t="str">
        <f t="shared" ref="L195:L258" si="10">IF(F195&lt;=1000,"Low",IF(F195&lt;=8000,"Medium","High"))</f>
        <v>Medium</v>
      </c>
      <c r="M195" s="1" t="str">
        <f t="shared" ref="M195:M258" si="11">IF(J195&gt;=4,"Yes","No")</f>
        <v>Yes</v>
      </c>
    </row>
    <row r="196" spans="1:13" x14ac:dyDescent="0.35">
      <c r="A196">
        <v>198</v>
      </c>
      <c r="B196">
        <v>35</v>
      </c>
      <c r="C196" t="s">
        <v>10</v>
      </c>
      <c r="D196" t="s">
        <v>20</v>
      </c>
      <c r="E196" t="s">
        <v>21</v>
      </c>
      <c r="F196">
        <v>500</v>
      </c>
      <c r="G196">
        <v>14</v>
      </c>
      <c r="H196" t="s">
        <v>18</v>
      </c>
      <c r="I196" t="s">
        <v>14</v>
      </c>
      <c r="J196">
        <v>5</v>
      </c>
      <c r="K196" s="1" t="str">
        <f t="shared" si="9"/>
        <v>30-44</v>
      </c>
      <c r="L196" s="1" t="str">
        <f t="shared" si="10"/>
        <v>Low</v>
      </c>
      <c r="M196" s="1" t="str">
        <f t="shared" si="11"/>
        <v>Yes</v>
      </c>
    </row>
    <row r="197" spans="1:13" x14ac:dyDescent="0.35">
      <c r="A197">
        <v>199</v>
      </c>
      <c r="B197">
        <v>78</v>
      </c>
      <c r="C197" t="s">
        <v>15</v>
      </c>
      <c r="D197" t="s">
        <v>22</v>
      </c>
      <c r="E197" t="s">
        <v>23</v>
      </c>
      <c r="F197">
        <v>10000</v>
      </c>
      <c r="G197">
        <v>20</v>
      </c>
      <c r="H197" t="s">
        <v>13</v>
      </c>
      <c r="I197" t="s">
        <v>19</v>
      </c>
      <c r="J197">
        <v>2</v>
      </c>
      <c r="K197" s="1" t="str">
        <f t="shared" si="9"/>
        <v>75+</v>
      </c>
      <c r="L197" s="1" t="str">
        <f t="shared" si="10"/>
        <v>High</v>
      </c>
      <c r="M197" s="1" t="str">
        <f t="shared" si="11"/>
        <v>No</v>
      </c>
    </row>
    <row r="198" spans="1:13" x14ac:dyDescent="0.35">
      <c r="A198">
        <v>200</v>
      </c>
      <c r="B198">
        <v>53</v>
      </c>
      <c r="C198" t="s">
        <v>10</v>
      </c>
      <c r="D198" t="s">
        <v>24</v>
      </c>
      <c r="E198" t="s">
        <v>25</v>
      </c>
      <c r="F198">
        <v>25000</v>
      </c>
      <c r="G198">
        <v>23</v>
      </c>
      <c r="H198" t="s">
        <v>18</v>
      </c>
      <c r="I198" t="s">
        <v>14</v>
      </c>
      <c r="J198">
        <v>4</v>
      </c>
      <c r="K198" s="1" t="str">
        <f t="shared" si="9"/>
        <v>45-59</v>
      </c>
      <c r="L198" s="1" t="str">
        <f t="shared" si="10"/>
        <v>High</v>
      </c>
      <c r="M198" s="1" t="str">
        <f t="shared" si="11"/>
        <v>Yes</v>
      </c>
    </row>
    <row r="199" spans="1:13" x14ac:dyDescent="0.35">
      <c r="A199">
        <v>201</v>
      </c>
      <c r="B199">
        <v>72</v>
      </c>
      <c r="C199" t="s">
        <v>15</v>
      </c>
      <c r="D199" t="s">
        <v>26</v>
      </c>
      <c r="E199" t="s">
        <v>27</v>
      </c>
      <c r="F199">
        <v>1000</v>
      </c>
      <c r="G199">
        <v>15</v>
      </c>
      <c r="H199" t="s">
        <v>13</v>
      </c>
      <c r="I199" t="s">
        <v>19</v>
      </c>
      <c r="J199">
        <v>4</v>
      </c>
      <c r="K199" s="1" t="str">
        <f t="shared" si="9"/>
        <v>60-74</v>
      </c>
      <c r="L199" s="1" t="str">
        <f t="shared" si="10"/>
        <v>Low</v>
      </c>
      <c r="M199" s="1" t="str">
        <f t="shared" si="11"/>
        <v>Yes</v>
      </c>
    </row>
    <row r="200" spans="1:13" x14ac:dyDescent="0.35">
      <c r="A200">
        <v>202</v>
      </c>
      <c r="B200">
        <v>60</v>
      </c>
      <c r="C200" t="s">
        <v>10</v>
      </c>
      <c r="D200" t="s">
        <v>28</v>
      </c>
      <c r="E200" t="s">
        <v>29</v>
      </c>
      <c r="F200">
        <v>8000</v>
      </c>
      <c r="G200">
        <v>17</v>
      </c>
      <c r="H200" t="s">
        <v>18</v>
      </c>
      <c r="I200" t="s">
        <v>14</v>
      </c>
      <c r="J200">
        <v>3</v>
      </c>
      <c r="K200" s="1" t="str">
        <f t="shared" si="9"/>
        <v>60-74</v>
      </c>
      <c r="L200" s="1" t="str">
        <f t="shared" si="10"/>
        <v>Medium</v>
      </c>
      <c r="M200" s="1" t="str">
        <f t="shared" si="11"/>
        <v>No</v>
      </c>
    </row>
    <row r="201" spans="1:13" x14ac:dyDescent="0.35">
      <c r="A201">
        <v>203</v>
      </c>
      <c r="B201">
        <v>45</v>
      </c>
      <c r="C201" t="s">
        <v>15</v>
      </c>
      <c r="D201" t="s">
        <v>30</v>
      </c>
      <c r="E201" t="s">
        <v>31</v>
      </c>
      <c r="F201">
        <v>3000</v>
      </c>
      <c r="G201">
        <v>19</v>
      </c>
      <c r="H201" t="s">
        <v>13</v>
      </c>
      <c r="I201" t="s">
        <v>14</v>
      </c>
      <c r="J201">
        <v>4</v>
      </c>
      <c r="K201" s="1" t="str">
        <f t="shared" si="9"/>
        <v>45-59</v>
      </c>
      <c r="L201" s="1" t="str">
        <f t="shared" si="10"/>
        <v>Medium</v>
      </c>
      <c r="M201" s="1" t="str">
        <f t="shared" si="11"/>
        <v>Yes</v>
      </c>
    </row>
    <row r="202" spans="1:13" x14ac:dyDescent="0.35">
      <c r="A202">
        <v>204</v>
      </c>
      <c r="B202">
        <v>75</v>
      </c>
      <c r="C202" t="s">
        <v>10</v>
      </c>
      <c r="D202" t="s">
        <v>32</v>
      </c>
      <c r="E202" t="s">
        <v>33</v>
      </c>
      <c r="F202">
        <v>18000</v>
      </c>
      <c r="G202">
        <v>21</v>
      </c>
      <c r="H202" t="s">
        <v>18</v>
      </c>
      <c r="I202" t="s">
        <v>19</v>
      </c>
      <c r="J202">
        <v>2</v>
      </c>
      <c r="K202" s="1" t="str">
        <f t="shared" si="9"/>
        <v>75+</v>
      </c>
      <c r="L202" s="1" t="str">
        <f t="shared" si="10"/>
        <v>High</v>
      </c>
      <c r="M202" s="1" t="str">
        <f t="shared" si="11"/>
        <v>No</v>
      </c>
    </row>
    <row r="203" spans="1:13" x14ac:dyDescent="0.35">
      <c r="A203">
        <v>205</v>
      </c>
      <c r="B203">
        <v>28</v>
      </c>
      <c r="C203" t="s">
        <v>15</v>
      </c>
      <c r="D203" t="s">
        <v>34</v>
      </c>
      <c r="E203" t="s">
        <v>35</v>
      </c>
      <c r="F203">
        <v>100</v>
      </c>
      <c r="G203">
        <v>14</v>
      </c>
      <c r="H203" t="s">
        <v>13</v>
      </c>
      <c r="I203" t="s">
        <v>14</v>
      </c>
      <c r="J203">
        <v>5</v>
      </c>
      <c r="K203" s="1" t="str">
        <f t="shared" si="9"/>
        <v>18-29</v>
      </c>
      <c r="L203" s="1" t="str">
        <f t="shared" si="10"/>
        <v>Low</v>
      </c>
      <c r="M203" s="1" t="str">
        <f t="shared" si="11"/>
        <v>Yes</v>
      </c>
    </row>
    <row r="204" spans="1:13" x14ac:dyDescent="0.35">
      <c r="A204">
        <v>206</v>
      </c>
      <c r="B204">
        <v>52</v>
      </c>
      <c r="C204" t="s">
        <v>10</v>
      </c>
      <c r="D204" t="s">
        <v>36</v>
      </c>
      <c r="E204" t="s">
        <v>37</v>
      </c>
      <c r="F204">
        <v>800</v>
      </c>
      <c r="G204">
        <v>15</v>
      </c>
      <c r="H204" t="s">
        <v>13</v>
      </c>
      <c r="I204" t="s">
        <v>19</v>
      </c>
      <c r="J204">
        <v>4</v>
      </c>
      <c r="K204" s="1" t="str">
        <f t="shared" si="9"/>
        <v>45-59</v>
      </c>
      <c r="L204" s="1" t="str">
        <f t="shared" si="10"/>
        <v>Low</v>
      </c>
      <c r="M204" s="1" t="str">
        <f t="shared" si="11"/>
        <v>Yes</v>
      </c>
    </row>
    <row r="205" spans="1:13" x14ac:dyDescent="0.35">
      <c r="A205">
        <v>207</v>
      </c>
      <c r="B205">
        <v>67</v>
      </c>
      <c r="C205" t="s">
        <v>15</v>
      </c>
      <c r="D205" t="s">
        <v>38</v>
      </c>
      <c r="E205" t="s">
        <v>39</v>
      </c>
      <c r="F205">
        <v>20000</v>
      </c>
      <c r="G205">
        <v>22</v>
      </c>
      <c r="H205" t="s">
        <v>13</v>
      </c>
      <c r="I205" t="s">
        <v>14</v>
      </c>
      <c r="J205">
        <v>3</v>
      </c>
      <c r="K205" s="1" t="str">
        <f t="shared" si="9"/>
        <v>60-74</v>
      </c>
      <c r="L205" s="1" t="str">
        <f t="shared" si="10"/>
        <v>High</v>
      </c>
      <c r="M205" s="1" t="str">
        <f t="shared" si="11"/>
        <v>No</v>
      </c>
    </row>
    <row r="206" spans="1:13" x14ac:dyDescent="0.35">
      <c r="A206">
        <v>208</v>
      </c>
      <c r="B206">
        <v>35</v>
      </c>
      <c r="C206" t="s">
        <v>10</v>
      </c>
      <c r="D206" t="s">
        <v>40</v>
      </c>
      <c r="E206" t="s">
        <v>41</v>
      </c>
      <c r="F206">
        <v>12000</v>
      </c>
      <c r="G206">
        <v>16</v>
      </c>
      <c r="H206" t="s">
        <v>13</v>
      </c>
      <c r="I206" t="s">
        <v>14</v>
      </c>
      <c r="J206">
        <v>4</v>
      </c>
      <c r="K206" s="1" t="str">
        <f t="shared" si="9"/>
        <v>30-44</v>
      </c>
      <c r="L206" s="1" t="str">
        <f t="shared" si="10"/>
        <v>High</v>
      </c>
      <c r="M206" s="1" t="str">
        <f t="shared" si="11"/>
        <v>Yes</v>
      </c>
    </row>
    <row r="207" spans="1:13" x14ac:dyDescent="0.35">
      <c r="A207">
        <v>209</v>
      </c>
      <c r="B207">
        <v>50</v>
      </c>
      <c r="C207" t="s">
        <v>15</v>
      </c>
      <c r="D207" t="s">
        <v>42</v>
      </c>
      <c r="E207" t="s">
        <v>43</v>
      </c>
      <c r="F207">
        <v>6000</v>
      </c>
      <c r="G207">
        <v>17</v>
      </c>
      <c r="H207" t="s">
        <v>13</v>
      </c>
      <c r="I207" t="s">
        <v>14</v>
      </c>
      <c r="J207">
        <v>3</v>
      </c>
      <c r="K207" s="1" t="str">
        <f t="shared" si="9"/>
        <v>45-59</v>
      </c>
      <c r="L207" s="1" t="str">
        <f t="shared" si="10"/>
        <v>Medium</v>
      </c>
      <c r="M207" s="1" t="str">
        <f t="shared" si="11"/>
        <v>No</v>
      </c>
    </row>
    <row r="208" spans="1:13" x14ac:dyDescent="0.35">
      <c r="A208">
        <v>210</v>
      </c>
      <c r="B208">
        <v>60</v>
      </c>
      <c r="C208" t="s">
        <v>10</v>
      </c>
      <c r="D208" t="s">
        <v>44</v>
      </c>
      <c r="E208" t="s">
        <v>45</v>
      </c>
      <c r="F208">
        <v>4000</v>
      </c>
      <c r="G208">
        <v>18</v>
      </c>
      <c r="H208" t="s">
        <v>13</v>
      </c>
      <c r="I208" t="s">
        <v>19</v>
      </c>
      <c r="J208">
        <v>4</v>
      </c>
      <c r="K208" s="1" t="str">
        <f t="shared" si="9"/>
        <v>60-74</v>
      </c>
      <c r="L208" s="1" t="str">
        <f t="shared" si="10"/>
        <v>Medium</v>
      </c>
      <c r="M208" s="1" t="str">
        <f t="shared" si="11"/>
        <v>Yes</v>
      </c>
    </row>
    <row r="209" spans="1:13" x14ac:dyDescent="0.35">
      <c r="A209">
        <v>211</v>
      </c>
      <c r="B209">
        <v>48</v>
      </c>
      <c r="C209" t="s">
        <v>10</v>
      </c>
      <c r="D209" t="s">
        <v>11</v>
      </c>
      <c r="E209" t="s">
        <v>12</v>
      </c>
      <c r="F209">
        <v>15000</v>
      </c>
      <c r="G209">
        <v>19</v>
      </c>
      <c r="H209" t="s">
        <v>18</v>
      </c>
      <c r="I209" t="s">
        <v>14</v>
      </c>
      <c r="J209">
        <v>4</v>
      </c>
      <c r="K209" s="1" t="str">
        <f t="shared" si="9"/>
        <v>45-59</v>
      </c>
      <c r="L209" s="1" t="str">
        <f t="shared" si="10"/>
        <v>High</v>
      </c>
      <c r="M209" s="1" t="str">
        <f t="shared" si="11"/>
        <v>Yes</v>
      </c>
    </row>
    <row r="210" spans="1:13" x14ac:dyDescent="0.35">
      <c r="A210">
        <v>212</v>
      </c>
      <c r="B210">
        <v>65</v>
      </c>
      <c r="C210" t="s">
        <v>15</v>
      </c>
      <c r="D210" t="s">
        <v>16</v>
      </c>
      <c r="E210" t="s">
        <v>17</v>
      </c>
      <c r="F210">
        <v>2000</v>
      </c>
      <c r="G210">
        <v>17</v>
      </c>
      <c r="H210" t="s">
        <v>13</v>
      </c>
      <c r="I210" t="s">
        <v>19</v>
      </c>
      <c r="J210">
        <v>3</v>
      </c>
      <c r="K210" s="1" t="str">
        <f t="shared" si="9"/>
        <v>60-74</v>
      </c>
      <c r="L210" s="1" t="str">
        <f t="shared" si="10"/>
        <v>Medium</v>
      </c>
      <c r="M210" s="1" t="str">
        <f t="shared" si="11"/>
        <v>No</v>
      </c>
    </row>
    <row r="211" spans="1:13" x14ac:dyDescent="0.35">
      <c r="A211">
        <v>213</v>
      </c>
      <c r="B211">
        <v>30</v>
      </c>
      <c r="C211" t="s">
        <v>10</v>
      </c>
      <c r="D211" t="s">
        <v>20</v>
      </c>
      <c r="E211" t="s">
        <v>21</v>
      </c>
      <c r="F211">
        <v>500</v>
      </c>
      <c r="G211">
        <v>15</v>
      </c>
      <c r="H211" t="s">
        <v>13</v>
      </c>
      <c r="I211" t="s">
        <v>14</v>
      </c>
      <c r="J211">
        <v>5</v>
      </c>
      <c r="K211" s="1" t="str">
        <f t="shared" si="9"/>
        <v>30-44</v>
      </c>
      <c r="L211" s="1" t="str">
        <f t="shared" si="10"/>
        <v>Low</v>
      </c>
      <c r="M211" s="1" t="str">
        <f t="shared" si="11"/>
        <v>Yes</v>
      </c>
    </row>
    <row r="212" spans="1:13" x14ac:dyDescent="0.35">
      <c r="A212">
        <v>214</v>
      </c>
      <c r="B212">
        <v>70</v>
      </c>
      <c r="C212" t="s">
        <v>15</v>
      </c>
      <c r="D212" t="s">
        <v>22</v>
      </c>
      <c r="E212" t="s">
        <v>23</v>
      </c>
      <c r="F212">
        <v>10000</v>
      </c>
      <c r="G212">
        <v>21</v>
      </c>
      <c r="H212" t="s">
        <v>18</v>
      </c>
      <c r="I212" t="s">
        <v>19</v>
      </c>
      <c r="J212">
        <v>2</v>
      </c>
      <c r="K212" s="1" t="str">
        <f t="shared" si="9"/>
        <v>60-74</v>
      </c>
      <c r="L212" s="1" t="str">
        <f t="shared" si="10"/>
        <v>High</v>
      </c>
      <c r="M212" s="1" t="str">
        <f t="shared" si="11"/>
        <v>No</v>
      </c>
    </row>
    <row r="213" spans="1:13" x14ac:dyDescent="0.35">
      <c r="A213">
        <v>215</v>
      </c>
      <c r="B213">
        <v>55</v>
      </c>
      <c r="C213" t="s">
        <v>10</v>
      </c>
      <c r="D213" t="s">
        <v>24</v>
      </c>
      <c r="E213" t="s">
        <v>25</v>
      </c>
      <c r="F213">
        <v>25000</v>
      </c>
      <c r="G213">
        <v>24</v>
      </c>
      <c r="H213" t="s">
        <v>13</v>
      </c>
      <c r="I213" t="s">
        <v>14</v>
      </c>
      <c r="J213">
        <v>4</v>
      </c>
      <c r="K213" s="1" t="str">
        <f t="shared" si="9"/>
        <v>45-59</v>
      </c>
      <c r="L213" s="1" t="str">
        <f t="shared" si="10"/>
        <v>High</v>
      </c>
      <c r="M213" s="1" t="str">
        <f t="shared" si="11"/>
        <v>Yes</v>
      </c>
    </row>
    <row r="214" spans="1:13" x14ac:dyDescent="0.35">
      <c r="A214">
        <v>216</v>
      </c>
      <c r="B214">
        <v>68</v>
      </c>
      <c r="C214" t="s">
        <v>15</v>
      </c>
      <c r="D214" t="s">
        <v>26</v>
      </c>
      <c r="E214" t="s">
        <v>27</v>
      </c>
      <c r="F214">
        <v>1000</v>
      </c>
      <c r="G214">
        <v>16</v>
      </c>
      <c r="H214" t="s">
        <v>13</v>
      </c>
      <c r="I214" t="s">
        <v>19</v>
      </c>
      <c r="J214">
        <v>4</v>
      </c>
      <c r="K214" s="1" t="str">
        <f t="shared" si="9"/>
        <v>60-74</v>
      </c>
      <c r="L214" s="1" t="str">
        <f t="shared" si="10"/>
        <v>Low</v>
      </c>
      <c r="M214" s="1" t="str">
        <f t="shared" si="11"/>
        <v>Yes</v>
      </c>
    </row>
    <row r="215" spans="1:13" x14ac:dyDescent="0.35">
      <c r="A215">
        <v>217</v>
      </c>
      <c r="B215">
        <v>45</v>
      </c>
      <c r="C215" t="s">
        <v>10</v>
      </c>
      <c r="D215" t="s">
        <v>28</v>
      </c>
      <c r="E215" t="s">
        <v>29</v>
      </c>
      <c r="F215">
        <v>8000</v>
      </c>
      <c r="G215">
        <v>18</v>
      </c>
      <c r="H215" t="s">
        <v>13</v>
      </c>
      <c r="I215" t="s">
        <v>14</v>
      </c>
      <c r="J215">
        <v>3</v>
      </c>
      <c r="K215" s="1" t="str">
        <f t="shared" si="9"/>
        <v>45-59</v>
      </c>
      <c r="L215" s="1" t="str">
        <f t="shared" si="10"/>
        <v>Medium</v>
      </c>
      <c r="M215" s="1" t="str">
        <f t="shared" si="11"/>
        <v>No</v>
      </c>
    </row>
    <row r="216" spans="1:13" x14ac:dyDescent="0.35">
      <c r="A216">
        <v>218</v>
      </c>
      <c r="B216">
        <v>40</v>
      </c>
      <c r="C216" t="s">
        <v>15</v>
      </c>
      <c r="D216" t="s">
        <v>30</v>
      </c>
      <c r="E216" t="s">
        <v>31</v>
      </c>
      <c r="F216">
        <v>3000</v>
      </c>
      <c r="G216">
        <v>20</v>
      </c>
      <c r="H216" t="s">
        <v>13</v>
      </c>
      <c r="I216" t="s">
        <v>14</v>
      </c>
      <c r="J216">
        <v>4</v>
      </c>
      <c r="K216" s="1" t="str">
        <f t="shared" si="9"/>
        <v>30-44</v>
      </c>
      <c r="L216" s="1" t="str">
        <f t="shared" si="10"/>
        <v>Medium</v>
      </c>
      <c r="M216" s="1" t="str">
        <f t="shared" si="11"/>
        <v>Yes</v>
      </c>
    </row>
    <row r="217" spans="1:13" x14ac:dyDescent="0.35">
      <c r="A217">
        <v>219</v>
      </c>
      <c r="B217">
        <v>78</v>
      </c>
      <c r="C217" t="s">
        <v>10</v>
      </c>
      <c r="D217" t="s">
        <v>32</v>
      </c>
      <c r="E217" t="s">
        <v>33</v>
      </c>
      <c r="F217">
        <v>18000</v>
      </c>
      <c r="G217">
        <v>22</v>
      </c>
      <c r="H217" t="s">
        <v>18</v>
      </c>
      <c r="I217" t="s">
        <v>19</v>
      </c>
      <c r="J217">
        <v>2</v>
      </c>
      <c r="K217" s="1" t="str">
        <f t="shared" si="9"/>
        <v>75+</v>
      </c>
      <c r="L217" s="1" t="str">
        <f t="shared" si="10"/>
        <v>High</v>
      </c>
      <c r="M217" s="1" t="str">
        <f t="shared" si="11"/>
        <v>No</v>
      </c>
    </row>
    <row r="218" spans="1:13" x14ac:dyDescent="0.35">
      <c r="A218">
        <v>220</v>
      </c>
      <c r="B218">
        <v>25</v>
      </c>
      <c r="C218" t="s">
        <v>15</v>
      </c>
      <c r="D218" t="s">
        <v>34</v>
      </c>
      <c r="E218" t="s">
        <v>35</v>
      </c>
      <c r="F218">
        <v>100</v>
      </c>
      <c r="G218">
        <v>15</v>
      </c>
      <c r="H218" t="s">
        <v>13</v>
      </c>
      <c r="I218" t="s">
        <v>14</v>
      </c>
      <c r="J218">
        <v>5</v>
      </c>
      <c r="K218" s="1" t="str">
        <f t="shared" si="9"/>
        <v>18-29</v>
      </c>
      <c r="L218" s="1" t="str">
        <f t="shared" si="10"/>
        <v>Low</v>
      </c>
      <c r="M218" s="1" t="str">
        <f t="shared" si="11"/>
        <v>Yes</v>
      </c>
    </row>
    <row r="219" spans="1:13" x14ac:dyDescent="0.35">
      <c r="A219">
        <v>221</v>
      </c>
      <c r="B219">
        <v>52</v>
      </c>
      <c r="C219" t="s">
        <v>10</v>
      </c>
      <c r="D219" t="s">
        <v>36</v>
      </c>
      <c r="E219" t="s">
        <v>37</v>
      </c>
      <c r="F219">
        <v>800</v>
      </c>
      <c r="G219">
        <v>16</v>
      </c>
      <c r="H219" t="s">
        <v>13</v>
      </c>
      <c r="I219" t="s">
        <v>19</v>
      </c>
      <c r="J219">
        <v>4</v>
      </c>
      <c r="K219" s="1" t="str">
        <f t="shared" si="9"/>
        <v>45-59</v>
      </c>
      <c r="L219" s="1" t="str">
        <f t="shared" si="10"/>
        <v>Low</v>
      </c>
      <c r="M219" s="1" t="str">
        <f t="shared" si="11"/>
        <v>Yes</v>
      </c>
    </row>
    <row r="220" spans="1:13" x14ac:dyDescent="0.35">
      <c r="A220">
        <v>222</v>
      </c>
      <c r="B220">
        <v>58</v>
      </c>
      <c r="C220" t="s">
        <v>15</v>
      </c>
      <c r="D220" t="s">
        <v>38</v>
      </c>
      <c r="E220" t="s">
        <v>39</v>
      </c>
      <c r="F220">
        <v>20000</v>
      </c>
      <c r="G220">
        <v>23</v>
      </c>
      <c r="H220" t="s">
        <v>13</v>
      </c>
      <c r="I220" t="s">
        <v>14</v>
      </c>
      <c r="J220">
        <v>3</v>
      </c>
      <c r="K220" s="1" t="str">
        <f t="shared" si="9"/>
        <v>45-59</v>
      </c>
      <c r="L220" s="1" t="str">
        <f t="shared" si="10"/>
        <v>High</v>
      </c>
      <c r="M220" s="1" t="str">
        <f t="shared" si="11"/>
        <v>No</v>
      </c>
    </row>
    <row r="221" spans="1:13" x14ac:dyDescent="0.35">
      <c r="A221">
        <v>223</v>
      </c>
      <c r="B221">
        <v>32</v>
      </c>
      <c r="C221" t="s">
        <v>10</v>
      </c>
      <c r="D221" t="s">
        <v>40</v>
      </c>
      <c r="E221" t="s">
        <v>41</v>
      </c>
      <c r="F221">
        <v>12000</v>
      </c>
      <c r="G221">
        <v>17</v>
      </c>
      <c r="H221" t="s">
        <v>13</v>
      </c>
      <c r="I221" t="s">
        <v>14</v>
      </c>
      <c r="J221">
        <v>4</v>
      </c>
      <c r="K221" s="1" t="str">
        <f t="shared" si="9"/>
        <v>30-44</v>
      </c>
      <c r="L221" s="1" t="str">
        <f t="shared" si="10"/>
        <v>High</v>
      </c>
      <c r="M221" s="1" t="str">
        <f t="shared" si="11"/>
        <v>Yes</v>
      </c>
    </row>
    <row r="222" spans="1:13" x14ac:dyDescent="0.35">
      <c r="A222">
        <v>224</v>
      </c>
      <c r="B222">
        <v>55</v>
      </c>
      <c r="C222" t="s">
        <v>15</v>
      </c>
      <c r="D222" t="s">
        <v>42</v>
      </c>
      <c r="E222" t="s">
        <v>43</v>
      </c>
      <c r="F222">
        <v>6000</v>
      </c>
      <c r="G222">
        <v>18</v>
      </c>
      <c r="H222" t="s">
        <v>13</v>
      </c>
      <c r="I222" t="s">
        <v>14</v>
      </c>
      <c r="J222">
        <v>3</v>
      </c>
      <c r="K222" s="1" t="str">
        <f t="shared" si="9"/>
        <v>45-59</v>
      </c>
      <c r="L222" s="1" t="str">
        <f t="shared" si="10"/>
        <v>Medium</v>
      </c>
      <c r="M222" s="1" t="str">
        <f t="shared" si="11"/>
        <v>No</v>
      </c>
    </row>
    <row r="223" spans="1:13" x14ac:dyDescent="0.35">
      <c r="A223">
        <v>225</v>
      </c>
      <c r="B223">
        <v>65</v>
      </c>
      <c r="C223" t="s">
        <v>10</v>
      </c>
      <c r="D223" t="s">
        <v>44</v>
      </c>
      <c r="E223" t="s">
        <v>45</v>
      </c>
      <c r="F223">
        <v>4000</v>
      </c>
      <c r="G223">
        <v>19</v>
      </c>
      <c r="H223" t="s">
        <v>13</v>
      </c>
      <c r="I223" t="s">
        <v>19</v>
      </c>
      <c r="J223">
        <v>4</v>
      </c>
      <c r="K223" s="1" t="str">
        <f t="shared" si="9"/>
        <v>60-74</v>
      </c>
      <c r="L223" s="1" t="str">
        <f t="shared" si="10"/>
        <v>Medium</v>
      </c>
      <c r="M223" s="1" t="str">
        <f t="shared" si="11"/>
        <v>Yes</v>
      </c>
    </row>
    <row r="224" spans="1:13" x14ac:dyDescent="0.35">
      <c r="A224">
        <v>226</v>
      </c>
      <c r="B224">
        <v>55</v>
      </c>
      <c r="C224" t="s">
        <v>10</v>
      </c>
      <c r="D224" t="s">
        <v>11</v>
      </c>
      <c r="E224" t="s">
        <v>12</v>
      </c>
      <c r="F224">
        <v>15000</v>
      </c>
      <c r="G224">
        <v>20</v>
      </c>
      <c r="H224" t="s">
        <v>18</v>
      </c>
      <c r="I224" t="s">
        <v>14</v>
      </c>
      <c r="J224">
        <v>3</v>
      </c>
      <c r="K224" s="1" t="str">
        <f t="shared" si="9"/>
        <v>45-59</v>
      </c>
      <c r="L224" s="1" t="str">
        <f t="shared" si="10"/>
        <v>High</v>
      </c>
      <c r="M224" s="1" t="str">
        <f t="shared" si="11"/>
        <v>No</v>
      </c>
    </row>
    <row r="225" spans="1:13" x14ac:dyDescent="0.35">
      <c r="A225">
        <v>227</v>
      </c>
      <c r="B225">
        <v>62</v>
      </c>
      <c r="C225" t="s">
        <v>15</v>
      </c>
      <c r="D225" t="s">
        <v>16</v>
      </c>
      <c r="E225" t="s">
        <v>17</v>
      </c>
      <c r="F225">
        <v>2000</v>
      </c>
      <c r="G225">
        <v>18</v>
      </c>
      <c r="H225" t="s">
        <v>13</v>
      </c>
      <c r="I225" t="s">
        <v>19</v>
      </c>
      <c r="J225">
        <v>4</v>
      </c>
      <c r="K225" s="1" t="str">
        <f t="shared" si="9"/>
        <v>60-74</v>
      </c>
      <c r="L225" s="1" t="str">
        <f t="shared" si="10"/>
        <v>Medium</v>
      </c>
      <c r="M225" s="1" t="str">
        <f t="shared" si="11"/>
        <v>Yes</v>
      </c>
    </row>
    <row r="226" spans="1:13" x14ac:dyDescent="0.35">
      <c r="A226">
        <v>228</v>
      </c>
      <c r="B226">
        <v>35</v>
      </c>
      <c r="C226" t="s">
        <v>10</v>
      </c>
      <c r="D226" t="s">
        <v>20</v>
      </c>
      <c r="E226" t="s">
        <v>21</v>
      </c>
      <c r="F226">
        <v>500</v>
      </c>
      <c r="G226">
        <v>16</v>
      </c>
      <c r="H226" t="s">
        <v>18</v>
      </c>
      <c r="I226" t="s">
        <v>14</v>
      </c>
      <c r="J226">
        <v>5</v>
      </c>
      <c r="K226" s="1" t="str">
        <f t="shared" si="9"/>
        <v>30-44</v>
      </c>
      <c r="L226" s="1" t="str">
        <f t="shared" si="10"/>
        <v>Low</v>
      </c>
      <c r="M226" s="1" t="str">
        <f t="shared" si="11"/>
        <v>Yes</v>
      </c>
    </row>
    <row r="227" spans="1:13" x14ac:dyDescent="0.35">
      <c r="A227">
        <v>229</v>
      </c>
      <c r="B227">
        <v>78</v>
      </c>
      <c r="C227" t="s">
        <v>15</v>
      </c>
      <c r="D227" t="s">
        <v>22</v>
      </c>
      <c r="E227" t="s">
        <v>23</v>
      </c>
      <c r="F227">
        <v>10000</v>
      </c>
      <c r="G227">
        <v>22</v>
      </c>
      <c r="H227" t="s">
        <v>13</v>
      </c>
      <c r="I227" t="s">
        <v>19</v>
      </c>
      <c r="J227">
        <v>2</v>
      </c>
      <c r="K227" s="1" t="str">
        <f t="shared" si="9"/>
        <v>75+</v>
      </c>
      <c r="L227" s="1" t="str">
        <f t="shared" si="10"/>
        <v>High</v>
      </c>
      <c r="M227" s="1" t="str">
        <f t="shared" si="11"/>
        <v>No</v>
      </c>
    </row>
    <row r="228" spans="1:13" x14ac:dyDescent="0.35">
      <c r="A228">
        <v>230</v>
      </c>
      <c r="B228">
        <v>53</v>
      </c>
      <c r="C228" t="s">
        <v>10</v>
      </c>
      <c r="D228" t="s">
        <v>24</v>
      </c>
      <c r="E228" t="s">
        <v>25</v>
      </c>
      <c r="F228">
        <v>25000</v>
      </c>
      <c r="G228">
        <v>25</v>
      </c>
      <c r="H228" t="s">
        <v>18</v>
      </c>
      <c r="I228" t="s">
        <v>14</v>
      </c>
      <c r="J228">
        <v>4</v>
      </c>
      <c r="K228" s="1" t="str">
        <f t="shared" si="9"/>
        <v>45-59</v>
      </c>
      <c r="L228" s="1" t="str">
        <f t="shared" si="10"/>
        <v>High</v>
      </c>
      <c r="M228" s="1" t="str">
        <f t="shared" si="11"/>
        <v>Yes</v>
      </c>
    </row>
    <row r="229" spans="1:13" x14ac:dyDescent="0.35">
      <c r="A229">
        <v>231</v>
      </c>
      <c r="B229">
        <v>72</v>
      </c>
      <c r="C229" t="s">
        <v>15</v>
      </c>
      <c r="D229" t="s">
        <v>26</v>
      </c>
      <c r="E229" t="s">
        <v>27</v>
      </c>
      <c r="F229">
        <v>1000</v>
      </c>
      <c r="G229">
        <v>17</v>
      </c>
      <c r="H229" t="s">
        <v>13</v>
      </c>
      <c r="I229" t="s">
        <v>19</v>
      </c>
      <c r="J229">
        <v>4</v>
      </c>
      <c r="K229" s="1" t="str">
        <f t="shared" si="9"/>
        <v>60-74</v>
      </c>
      <c r="L229" s="1" t="str">
        <f t="shared" si="10"/>
        <v>Low</v>
      </c>
      <c r="M229" s="1" t="str">
        <f t="shared" si="11"/>
        <v>Yes</v>
      </c>
    </row>
    <row r="230" spans="1:13" x14ac:dyDescent="0.35">
      <c r="A230">
        <v>232</v>
      </c>
      <c r="B230">
        <v>60</v>
      </c>
      <c r="C230" t="s">
        <v>10</v>
      </c>
      <c r="D230" t="s">
        <v>28</v>
      </c>
      <c r="E230" t="s">
        <v>29</v>
      </c>
      <c r="F230">
        <v>8000</v>
      </c>
      <c r="G230">
        <v>19</v>
      </c>
      <c r="H230" t="s">
        <v>18</v>
      </c>
      <c r="I230" t="s">
        <v>14</v>
      </c>
      <c r="J230">
        <v>3</v>
      </c>
      <c r="K230" s="1" t="str">
        <f t="shared" si="9"/>
        <v>60-74</v>
      </c>
      <c r="L230" s="1" t="str">
        <f t="shared" si="10"/>
        <v>Medium</v>
      </c>
      <c r="M230" s="1" t="str">
        <f t="shared" si="11"/>
        <v>No</v>
      </c>
    </row>
    <row r="231" spans="1:13" x14ac:dyDescent="0.35">
      <c r="A231">
        <v>233</v>
      </c>
      <c r="B231">
        <v>45</v>
      </c>
      <c r="C231" t="s">
        <v>15</v>
      </c>
      <c r="D231" t="s">
        <v>30</v>
      </c>
      <c r="E231" t="s">
        <v>31</v>
      </c>
      <c r="F231">
        <v>3000</v>
      </c>
      <c r="G231">
        <v>21</v>
      </c>
      <c r="H231" t="s">
        <v>13</v>
      </c>
      <c r="I231" t="s">
        <v>14</v>
      </c>
      <c r="J231">
        <v>4</v>
      </c>
      <c r="K231" s="1" t="str">
        <f t="shared" si="9"/>
        <v>45-59</v>
      </c>
      <c r="L231" s="1" t="str">
        <f t="shared" si="10"/>
        <v>Medium</v>
      </c>
      <c r="M231" s="1" t="str">
        <f t="shared" si="11"/>
        <v>Yes</v>
      </c>
    </row>
    <row r="232" spans="1:13" x14ac:dyDescent="0.35">
      <c r="A232">
        <v>234</v>
      </c>
      <c r="B232">
        <v>75</v>
      </c>
      <c r="C232" t="s">
        <v>10</v>
      </c>
      <c r="D232" t="s">
        <v>32</v>
      </c>
      <c r="E232" t="s">
        <v>33</v>
      </c>
      <c r="F232">
        <v>18000</v>
      </c>
      <c r="G232">
        <v>23</v>
      </c>
      <c r="H232" t="s">
        <v>18</v>
      </c>
      <c r="I232" t="s">
        <v>19</v>
      </c>
      <c r="J232">
        <v>2</v>
      </c>
      <c r="K232" s="1" t="str">
        <f t="shared" si="9"/>
        <v>75+</v>
      </c>
      <c r="L232" s="1" t="str">
        <f t="shared" si="10"/>
        <v>High</v>
      </c>
      <c r="M232" s="1" t="str">
        <f t="shared" si="11"/>
        <v>No</v>
      </c>
    </row>
    <row r="233" spans="1:13" x14ac:dyDescent="0.35">
      <c r="A233">
        <v>235</v>
      </c>
      <c r="B233">
        <v>28</v>
      </c>
      <c r="C233" t="s">
        <v>15</v>
      </c>
      <c r="D233" t="s">
        <v>34</v>
      </c>
      <c r="E233" t="s">
        <v>35</v>
      </c>
      <c r="F233">
        <v>100</v>
      </c>
      <c r="G233">
        <v>16</v>
      </c>
      <c r="H233" t="s">
        <v>13</v>
      </c>
      <c r="I233" t="s">
        <v>14</v>
      </c>
      <c r="J233">
        <v>5</v>
      </c>
      <c r="K233" s="1" t="str">
        <f t="shared" si="9"/>
        <v>18-29</v>
      </c>
      <c r="L233" s="1" t="str">
        <f t="shared" si="10"/>
        <v>Low</v>
      </c>
      <c r="M233" s="1" t="str">
        <f t="shared" si="11"/>
        <v>Yes</v>
      </c>
    </row>
    <row r="234" spans="1:13" x14ac:dyDescent="0.35">
      <c r="A234">
        <v>236</v>
      </c>
      <c r="B234">
        <v>52</v>
      </c>
      <c r="C234" t="s">
        <v>10</v>
      </c>
      <c r="D234" t="s">
        <v>36</v>
      </c>
      <c r="E234" t="s">
        <v>37</v>
      </c>
      <c r="F234">
        <v>800</v>
      </c>
      <c r="G234">
        <v>17</v>
      </c>
      <c r="H234" t="s">
        <v>13</v>
      </c>
      <c r="I234" t="s">
        <v>19</v>
      </c>
      <c r="J234">
        <v>4</v>
      </c>
      <c r="K234" s="1" t="str">
        <f t="shared" si="9"/>
        <v>45-59</v>
      </c>
      <c r="L234" s="1" t="str">
        <f t="shared" si="10"/>
        <v>Low</v>
      </c>
      <c r="M234" s="1" t="str">
        <f t="shared" si="11"/>
        <v>Yes</v>
      </c>
    </row>
    <row r="235" spans="1:13" x14ac:dyDescent="0.35">
      <c r="A235">
        <v>237</v>
      </c>
      <c r="B235">
        <v>67</v>
      </c>
      <c r="C235" t="s">
        <v>15</v>
      </c>
      <c r="D235" t="s">
        <v>38</v>
      </c>
      <c r="E235" t="s">
        <v>39</v>
      </c>
      <c r="F235">
        <v>20000</v>
      </c>
      <c r="G235">
        <v>24</v>
      </c>
      <c r="H235" t="s">
        <v>13</v>
      </c>
      <c r="I235" t="s">
        <v>14</v>
      </c>
      <c r="J235">
        <v>3</v>
      </c>
      <c r="K235" s="1" t="str">
        <f t="shared" si="9"/>
        <v>60-74</v>
      </c>
      <c r="L235" s="1" t="str">
        <f t="shared" si="10"/>
        <v>High</v>
      </c>
      <c r="M235" s="1" t="str">
        <f t="shared" si="11"/>
        <v>No</v>
      </c>
    </row>
    <row r="236" spans="1:13" x14ac:dyDescent="0.35">
      <c r="A236">
        <v>238</v>
      </c>
      <c r="B236">
        <v>35</v>
      </c>
      <c r="C236" t="s">
        <v>10</v>
      </c>
      <c r="D236" t="s">
        <v>40</v>
      </c>
      <c r="E236" t="s">
        <v>41</v>
      </c>
      <c r="F236">
        <v>12000</v>
      </c>
      <c r="G236">
        <v>18</v>
      </c>
      <c r="H236" t="s">
        <v>13</v>
      </c>
      <c r="I236" t="s">
        <v>14</v>
      </c>
      <c r="J236">
        <v>4</v>
      </c>
      <c r="K236" s="1" t="str">
        <f t="shared" si="9"/>
        <v>30-44</v>
      </c>
      <c r="L236" s="1" t="str">
        <f t="shared" si="10"/>
        <v>High</v>
      </c>
      <c r="M236" s="1" t="str">
        <f t="shared" si="11"/>
        <v>Yes</v>
      </c>
    </row>
    <row r="237" spans="1:13" x14ac:dyDescent="0.35">
      <c r="A237">
        <v>239</v>
      </c>
      <c r="B237">
        <v>50</v>
      </c>
      <c r="C237" t="s">
        <v>15</v>
      </c>
      <c r="D237" t="s">
        <v>42</v>
      </c>
      <c r="E237" t="s">
        <v>43</v>
      </c>
      <c r="F237">
        <v>6000</v>
      </c>
      <c r="G237">
        <v>19</v>
      </c>
      <c r="H237" t="s">
        <v>13</v>
      </c>
      <c r="I237" t="s">
        <v>14</v>
      </c>
      <c r="J237">
        <v>3</v>
      </c>
      <c r="K237" s="1" t="str">
        <f t="shared" si="9"/>
        <v>45-59</v>
      </c>
      <c r="L237" s="1" t="str">
        <f t="shared" si="10"/>
        <v>Medium</v>
      </c>
      <c r="M237" s="1" t="str">
        <f t="shared" si="11"/>
        <v>No</v>
      </c>
    </row>
    <row r="238" spans="1:13" x14ac:dyDescent="0.35">
      <c r="A238">
        <v>240</v>
      </c>
      <c r="B238">
        <v>60</v>
      </c>
      <c r="C238" t="s">
        <v>10</v>
      </c>
      <c r="D238" t="s">
        <v>44</v>
      </c>
      <c r="E238" t="s">
        <v>45</v>
      </c>
      <c r="F238">
        <v>4000</v>
      </c>
      <c r="G238">
        <v>20</v>
      </c>
      <c r="H238" t="s">
        <v>13</v>
      </c>
      <c r="I238" t="s">
        <v>19</v>
      </c>
      <c r="J238">
        <v>4</v>
      </c>
      <c r="K238" s="1" t="str">
        <f t="shared" si="9"/>
        <v>60-74</v>
      </c>
      <c r="L238" s="1" t="str">
        <f t="shared" si="10"/>
        <v>Medium</v>
      </c>
      <c r="M238" s="1" t="str">
        <f t="shared" si="11"/>
        <v>Yes</v>
      </c>
    </row>
    <row r="239" spans="1:13" x14ac:dyDescent="0.35">
      <c r="A239">
        <v>241</v>
      </c>
      <c r="B239">
        <v>48</v>
      </c>
      <c r="C239" t="s">
        <v>10</v>
      </c>
      <c r="D239" t="s">
        <v>11</v>
      </c>
      <c r="E239" t="s">
        <v>12</v>
      </c>
      <c r="F239">
        <v>15000</v>
      </c>
      <c r="G239">
        <v>21</v>
      </c>
      <c r="H239" t="s">
        <v>18</v>
      </c>
      <c r="I239" t="s">
        <v>14</v>
      </c>
      <c r="J239">
        <v>4</v>
      </c>
      <c r="K239" s="1" t="str">
        <f t="shared" si="9"/>
        <v>45-59</v>
      </c>
      <c r="L239" s="1" t="str">
        <f t="shared" si="10"/>
        <v>High</v>
      </c>
      <c r="M239" s="1" t="str">
        <f t="shared" si="11"/>
        <v>Yes</v>
      </c>
    </row>
    <row r="240" spans="1:13" x14ac:dyDescent="0.35">
      <c r="A240">
        <v>242</v>
      </c>
      <c r="B240">
        <v>65</v>
      </c>
      <c r="C240" t="s">
        <v>15</v>
      </c>
      <c r="D240" t="s">
        <v>16</v>
      </c>
      <c r="E240" t="s">
        <v>17</v>
      </c>
      <c r="F240">
        <v>2000</v>
      </c>
      <c r="G240">
        <v>19</v>
      </c>
      <c r="H240" t="s">
        <v>13</v>
      </c>
      <c r="I240" t="s">
        <v>19</v>
      </c>
      <c r="J240">
        <v>3</v>
      </c>
      <c r="K240" s="1" t="str">
        <f t="shared" si="9"/>
        <v>60-74</v>
      </c>
      <c r="L240" s="1" t="str">
        <f t="shared" si="10"/>
        <v>Medium</v>
      </c>
      <c r="M240" s="1" t="str">
        <f t="shared" si="11"/>
        <v>No</v>
      </c>
    </row>
    <row r="241" spans="1:13" x14ac:dyDescent="0.35">
      <c r="A241">
        <v>244</v>
      </c>
      <c r="B241">
        <v>70</v>
      </c>
      <c r="C241" t="s">
        <v>15</v>
      </c>
      <c r="D241" t="s">
        <v>22</v>
      </c>
      <c r="E241" t="s">
        <v>23</v>
      </c>
      <c r="F241">
        <v>10000</v>
      </c>
      <c r="G241">
        <v>23</v>
      </c>
      <c r="H241" t="s">
        <v>18</v>
      </c>
      <c r="I241" t="s">
        <v>19</v>
      </c>
      <c r="J241">
        <v>2</v>
      </c>
      <c r="K241" s="1" t="str">
        <f t="shared" si="9"/>
        <v>60-74</v>
      </c>
      <c r="L241" s="1" t="str">
        <f t="shared" si="10"/>
        <v>High</v>
      </c>
      <c r="M241" s="1" t="str">
        <f t="shared" si="11"/>
        <v>No</v>
      </c>
    </row>
    <row r="242" spans="1:13" x14ac:dyDescent="0.35">
      <c r="A242">
        <v>245</v>
      </c>
      <c r="B242">
        <v>55</v>
      </c>
      <c r="C242" t="s">
        <v>10</v>
      </c>
      <c r="D242" t="s">
        <v>24</v>
      </c>
      <c r="E242" t="s">
        <v>25</v>
      </c>
      <c r="F242">
        <v>25000</v>
      </c>
      <c r="G242">
        <v>26</v>
      </c>
      <c r="H242" t="s">
        <v>13</v>
      </c>
      <c r="I242" t="s">
        <v>14</v>
      </c>
      <c r="J242">
        <v>4</v>
      </c>
      <c r="K242" s="1" t="str">
        <f t="shared" si="9"/>
        <v>45-59</v>
      </c>
      <c r="L242" s="1" t="str">
        <f t="shared" si="10"/>
        <v>High</v>
      </c>
      <c r="M242" s="1" t="str">
        <f t="shared" si="11"/>
        <v>Yes</v>
      </c>
    </row>
    <row r="243" spans="1:13" x14ac:dyDescent="0.35">
      <c r="A243">
        <v>246</v>
      </c>
      <c r="B243">
        <v>68</v>
      </c>
      <c r="C243" t="s">
        <v>15</v>
      </c>
      <c r="D243" t="s">
        <v>26</v>
      </c>
      <c r="E243" t="s">
        <v>27</v>
      </c>
      <c r="F243">
        <v>1000</v>
      </c>
      <c r="G243">
        <v>18</v>
      </c>
      <c r="H243" t="s">
        <v>13</v>
      </c>
      <c r="I243" t="s">
        <v>19</v>
      </c>
      <c r="J243">
        <v>4</v>
      </c>
      <c r="K243" s="1" t="str">
        <f t="shared" si="9"/>
        <v>60-74</v>
      </c>
      <c r="L243" s="1" t="str">
        <f t="shared" si="10"/>
        <v>Low</v>
      </c>
      <c r="M243" s="1" t="str">
        <f t="shared" si="11"/>
        <v>Yes</v>
      </c>
    </row>
    <row r="244" spans="1:13" x14ac:dyDescent="0.35">
      <c r="A244">
        <v>247</v>
      </c>
      <c r="B244">
        <v>45</v>
      </c>
      <c r="C244" t="s">
        <v>10</v>
      </c>
      <c r="D244" t="s">
        <v>28</v>
      </c>
      <c r="E244" t="s">
        <v>29</v>
      </c>
      <c r="F244">
        <v>8000</v>
      </c>
      <c r="G244">
        <v>20</v>
      </c>
      <c r="H244" t="s">
        <v>13</v>
      </c>
      <c r="I244" t="s">
        <v>14</v>
      </c>
      <c r="J244">
        <v>3</v>
      </c>
      <c r="K244" s="1" t="str">
        <f t="shared" si="9"/>
        <v>45-59</v>
      </c>
      <c r="L244" s="1" t="str">
        <f t="shared" si="10"/>
        <v>Medium</v>
      </c>
      <c r="M244" s="1" t="str">
        <f t="shared" si="11"/>
        <v>No</v>
      </c>
    </row>
    <row r="245" spans="1:13" x14ac:dyDescent="0.35">
      <c r="A245">
        <v>248</v>
      </c>
      <c r="B245">
        <v>40</v>
      </c>
      <c r="C245" t="s">
        <v>15</v>
      </c>
      <c r="D245" t="s">
        <v>30</v>
      </c>
      <c r="E245" t="s">
        <v>31</v>
      </c>
      <c r="F245">
        <v>3000</v>
      </c>
      <c r="G245">
        <v>22</v>
      </c>
      <c r="H245" t="s">
        <v>13</v>
      </c>
      <c r="I245" t="s">
        <v>14</v>
      </c>
      <c r="J245">
        <v>4</v>
      </c>
      <c r="K245" s="1" t="str">
        <f t="shared" si="9"/>
        <v>30-44</v>
      </c>
      <c r="L245" s="1" t="str">
        <f t="shared" si="10"/>
        <v>Medium</v>
      </c>
      <c r="M245" s="1" t="str">
        <f t="shared" si="11"/>
        <v>Yes</v>
      </c>
    </row>
    <row r="246" spans="1:13" x14ac:dyDescent="0.35">
      <c r="A246">
        <v>249</v>
      </c>
      <c r="B246">
        <v>78</v>
      </c>
      <c r="C246" t="s">
        <v>10</v>
      </c>
      <c r="D246" t="s">
        <v>32</v>
      </c>
      <c r="E246" t="s">
        <v>33</v>
      </c>
      <c r="F246">
        <v>18000</v>
      </c>
      <c r="G246">
        <v>24</v>
      </c>
      <c r="H246" t="s">
        <v>18</v>
      </c>
      <c r="I246" t="s">
        <v>19</v>
      </c>
      <c r="J246">
        <v>2</v>
      </c>
      <c r="K246" s="1" t="str">
        <f t="shared" si="9"/>
        <v>75+</v>
      </c>
      <c r="L246" s="1" t="str">
        <f t="shared" si="10"/>
        <v>High</v>
      </c>
      <c r="M246" s="1" t="str">
        <f t="shared" si="11"/>
        <v>No</v>
      </c>
    </row>
    <row r="247" spans="1:13" x14ac:dyDescent="0.35">
      <c r="A247">
        <v>250</v>
      </c>
      <c r="B247">
        <v>25</v>
      </c>
      <c r="C247" t="s">
        <v>15</v>
      </c>
      <c r="D247" t="s">
        <v>34</v>
      </c>
      <c r="E247" t="s">
        <v>35</v>
      </c>
      <c r="F247">
        <v>100</v>
      </c>
      <c r="G247">
        <v>17</v>
      </c>
      <c r="H247" t="s">
        <v>13</v>
      </c>
      <c r="I247" t="s">
        <v>14</v>
      </c>
      <c r="J247">
        <v>5</v>
      </c>
      <c r="K247" s="1" t="str">
        <f t="shared" si="9"/>
        <v>18-29</v>
      </c>
      <c r="L247" s="1" t="str">
        <f t="shared" si="10"/>
        <v>Low</v>
      </c>
      <c r="M247" s="1" t="str">
        <f t="shared" si="11"/>
        <v>Yes</v>
      </c>
    </row>
    <row r="248" spans="1:13" x14ac:dyDescent="0.35">
      <c r="A248">
        <v>251</v>
      </c>
      <c r="B248">
        <v>52</v>
      </c>
      <c r="C248" t="s">
        <v>10</v>
      </c>
      <c r="D248" t="s">
        <v>36</v>
      </c>
      <c r="E248" t="s">
        <v>37</v>
      </c>
      <c r="F248">
        <v>800</v>
      </c>
      <c r="G248">
        <v>18</v>
      </c>
      <c r="H248" t="s">
        <v>13</v>
      </c>
      <c r="I248" t="s">
        <v>19</v>
      </c>
      <c r="J248">
        <v>4</v>
      </c>
      <c r="K248" s="1" t="str">
        <f t="shared" si="9"/>
        <v>45-59</v>
      </c>
      <c r="L248" s="1" t="str">
        <f t="shared" si="10"/>
        <v>Low</v>
      </c>
      <c r="M248" s="1" t="str">
        <f t="shared" si="11"/>
        <v>Yes</v>
      </c>
    </row>
    <row r="249" spans="1:13" x14ac:dyDescent="0.35">
      <c r="A249">
        <v>252</v>
      </c>
      <c r="B249">
        <v>58</v>
      </c>
      <c r="C249" t="s">
        <v>15</v>
      </c>
      <c r="D249" t="s">
        <v>38</v>
      </c>
      <c r="E249" t="s">
        <v>39</v>
      </c>
      <c r="F249">
        <v>20000</v>
      </c>
      <c r="G249">
        <v>25</v>
      </c>
      <c r="H249" t="s">
        <v>13</v>
      </c>
      <c r="I249" t="s">
        <v>14</v>
      </c>
      <c r="J249">
        <v>3</v>
      </c>
      <c r="K249" s="1" t="str">
        <f t="shared" si="9"/>
        <v>45-59</v>
      </c>
      <c r="L249" s="1" t="str">
        <f t="shared" si="10"/>
        <v>High</v>
      </c>
      <c r="M249" s="1" t="str">
        <f t="shared" si="11"/>
        <v>No</v>
      </c>
    </row>
    <row r="250" spans="1:13" x14ac:dyDescent="0.35">
      <c r="A250">
        <v>253</v>
      </c>
      <c r="B250">
        <v>32</v>
      </c>
      <c r="C250" t="s">
        <v>10</v>
      </c>
      <c r="D250" t="s">
        <v>40</v>
      </c>
      <c r="E250" t="s">
        <v>41</v>
      </c>
      <c r="F250">
        <v>12000</v>
      </c>
      <c r="G250">
        <v>19</v>
      </c>
      <c r="H250" t="s">
        <v>13</v>
      </c>
      <c r="I250" t="s">
        <v>14</v>
      </c>
      <c r="J250">
        <v>4</v>
      </c>
      <c r="K250" s="1" t="str">
        <f t="shared" si="9"/>
        <v>30-44</v>
      </c>
      <c r="L250" s="1" t="str">
        <f t="shared" si="10"/>
        <v>High</v>
      </c>
      <c r="M250" s="1" t="str">
        <f t="shared" si="11"/>
        <v>Yes</v>
      </c>
    </row>
    <row r="251" spans="1:13" x14ac:dyDescent="0.35">
      <c r="A251">
        <v>254</v>
      </c>
      <c r="B251">
        <v>55</v>
      </c>
      <c r="C251" t="s">
        <v>15</v>
      </c>
      <c r="D251" t="s">
        <v>42</v>
      </c>
      <c r="E251" t="s">
        <v>43</v>
      </c>
      <c r="F251">
        <v>6000</v>
      </c>
      <c r="G251">
        <v>20</v>
      </c>
      <c r="H251" t="s">
        <v>13</v>
      </c>
      <c r="I251" t="s">
        <v>14</v>
      </c>
      <c r="J251">
        <v>3</v>
      </c>
      <c r="K251" s="1" t="str">
        <f t="shared" si="9"/>
        <v>45-59</v>
      </c>
      <c r="L251" s="1" t="str">
        <f t="shared" si="10"/>
        <v>Medium</v>
      </c>
      <c r="M251" s="1" t="str">
        <f t="shared" si="11"/>
        <v>No</v>
      </c>
    </row>
    <row r="252" spans="1:13" x14ac:dyDescent="0.35">
      <c r="A252">
        <v>255</v>
      </c>
      <c r="B252">
        <v>65</v>
      </c>
      <c r="C252" t="s">
        <v>10</v>
      </c>
      <c r="D252" t="s">
        <v>44</v>
      </c>
      <c r="E252" t="s">
        <v>45</v>
      </c>
      <c r="F252">
        <v>4000</v>
      </c>
      <c r="G252">
        <v>21</v>
      </c>
      <c r="H252" t="s">
        <v>13</v>
      </c>
      <c r="I252" t="s">
        <v>19</v>
      </c>
      <c r="J252">
        <v>4</v>
      </c>
      <c r="K252" s="1" t="str">
        <f t="shared" si="9"/>
        <v>60-74</v>
      </c>
      <c r="L252" s="1" t="str">
        <f t="shared" si="10"/>
        <v>Medium</v>
      </c>
      <c r="M252" s="1" t="str">
        <f t="shared" si="11"/>
        <v>Yes</v>
      </c>
    </row>
    <row r="253" spans="1:13" x14ac:dyDescent="0.35">
      <c r="A253">
        <v>256</v>
      </c>
      <c r="B253">
        <v>55</v>
      </c>
      <c r="C253" t="s">
        <v>10</v>
      </c>
      <c r="D253" t="s">
        <v>11</v>
      </c>
      <c r="E253" t="s">
        <v>12</v>
      </c>
      <c r="F253">
        <v>15000</v>
      </c>
      <c r="G253">
        <v>22</v>
      </c>
      <c r="H253" t="s">
        <v>18</v>
      </c>
      <c r="I253" t="s">
        <v>14</v>
      </c>
      <c r="J253">
        <v>3</v>
      </c>
      <c r="K253" s="1" t="str">
        <f t="shared" si="9"/>
        <v>45-59</v>
      </c>
      <c r="L253" s="1" t="str">
        <f t="shared" si="10"/>
        <v>High</v>
      </c>
      <c r="M253" s="1" t="str">
        <f t="shared" si="11"/>
        <v>No</v>
      </c>
    </row>
    <row r="254" spans="1:13" x14ac:dyDescent="0.35">
      <c r="A254">
        <v>257</v>
      </c>
      <c r="B254">
        <v>62</v>
      </c>
      <c r="C254" t="s">
        <v>15</v>
      </c>
      <c r="D254" t="s">
        <v>16</v>
      </c>
      <c r="E254" t="s">
        <v>17</v>
      </c>
      <c r="F254">
        <v>2000</v>
      </c>
      <c r="G254">
        <v>20</v>
      </c>
      <c r="H254" t="s">
        <v>13</v>
      </c>
      <c r="I254" t="s">
        <v>19</v>
      </c>
      <c r="J254">
        <v>4</v>
      </c>
      <c r="K254" s="1" t="str">
        <f t="shared" si="9"/>
        <v>60-74</v>
      </c>
      <c r="L254" s="1" t="str">
        <f t="shared" si="10"/>
        <v>Medium</v>
      </c>
      <c r="M254" s="1" t="str">
        <f t="shared" si="11"/>
        <v>Yes</v>
      </c>
    </row>
    <row r="255" spans="1:13" x14ac:dyDescent="0.35">
      <c r="A255">
        <v>258</v>
      </c>
      <c r="B255">
        <v>35</v>
      </c>
      <c r="C255" t="s">
        <v>10</v>
      </c>
      <c r="D255" t="s">
        <v>20</v>
      </c>
      <c r="E255" t="s">
        <v>21</v>
      </c>
      <c r="F255">
        <v>500</v>
      </c>
      <c r="G255">
        <v>18</v>
      </c>
      <c r="H255" t="s">
        <v>18</v>
      </c>
      <c r="I255" t="s">
        <v>14</v>
      </c>
      <c r="J255">
        <v>5</v>
      </c>
      <c r="K255" s="1" t="str">
        <f t="shared" si="9"/>
        <v>30-44</v>
      </c>
      <c r="L255" s="1" t="str">
        <f t="shared" si="10"/>
        <v>Low</v>
      </c>
      <c r="M255" s="1" t="str">
        <f t="shared" si="11"/>
        <v>Yes</v>
      </c>
    </row>
    <row r="256" spans="1:13" x14ac:dyDescent="0.35">
      <c r="A256">
        <v>259</v>
      </c>
      <c r="B256">
        <v>78</v>
      </c>
      <c r="C256" t="s">
        <v>15</v>
      </c>
      <c r="D256" t="s">
        <v>22</v>
      </c>
      <c r="E256" t="s">
        <v>23</v>
      </c>
      <c r="F256">
        <v>10000</v>
      </c>
      <c r="G256">
        <v>24</v>
      </c>
      <c r="H256" t="s">
        <v>13</v>
      </c>
      <c r="I256" t="s">
        <v>19</v>
      </c>
      <c r="J256">
        <v>2</v>
      </c>
      <c r="K256" s="1" t="str">
        <f t="shared" si="9"/>
        <v>75+</v>
      </c>
      <c r="L256" s="1" t="str">
        <f t="shared" si="10"/>
        <v>High</v>
      </c>
      <c r="M256" s="1" t="str">
        <f t="shared" si="11"/>
        <v>No</v>
      </c>
    </row>
    <row r="257" spans="1:13" x14ac:dyDescent="0.35">
      <c r="A257">
        <v>260</v>
      </c>
      <c r="B257">
        <v>53</v>
      </c>
      <c r="C257" t="s">
        <v>10</v>
      </c>
      <c r="D257" t="s">
        <v>24</v>
      </c>
      <c r="E257" t="s">
        <v>25</v>
      </c>
      <c r="F257">
        <v>25000</v>
      </c>
      <c r="G257">
        <v>27</v>
      </c>
      <c r="H257" t="s">
        <v>18</v>
      </c>
      <c r="I257" t="s">
        <v>14</v>
      </c>
      <c r="J257">
        <v>4</v>
      </c>
      <c r="K257" s="1" t="str">
        <f t="shared" si="9"/>
        <v>45-59</v>
      </c>
      <c r="L257" s="1" t="str">
        <f t="shared" si="10"/>
        <v>High</v>
      </c>
      <c r="M257" s="1" t="str">
        <f t="shared" si="11"/>
        <v>Yes</v>
      </c>
    </row>
    <row r="258" spans="1:13" x14ac:dyDescent="0.35">
      <c r="A258">
        <v>261</v>
      </c>
      <c r="B258">
        <v>72</v>
      </c>
      <c r="C258" t="s">
        <v>15</v>
      </c>
      <c r="D258" t="s">
        <v>26</v>
      </c>
      <c r="E258" t="s">
        <v>27</v>
      </c>
      <c r="F258">
        <v>1000</v>
      </c>
      <c r="G258">
        <v>19</v>
      </c>
      <c r="H258" t="s">
        <v>13</v>
      </c>
      <c r="I258" t="s">
        <v>19</v>
      </c>
      <c r="J258">
        <v>4</v>
      </c>
      <c r="K258" s="1" t="str">
        <f t="shared" si="9"/>
        <v>60-74</v>
      </c>
      <c r="L258" s="1" t="str">
        <f t="shared" si="10"/>
        <v>Low</v>
      </c>
      <c r="M258" s="1" t="str">
        <f t="shared" si="11"/>
        <v>Yes</v>
      </c>
    </row>
    <row r="259" spans="1:13" x14ac:dyDescent="0.35">
      <c r="A259">
        <v>262</v>
      </c>
      <c r="B259">
        <v>60</v>
      </c>
      <c r="C259" t="s">
        <v>10</v>
      </c>
      <c r="D259" t="s">
        <v>28</v>
      </c>
      <c r="E259" t="s">
        <v>29</v>
      </c>
      <c r="F259">
        <v>8000</v>
      </c>
      <c r="G259">
        <v>21</v>
      </c>
      <c r="H259" t="s">
        <v>18</v>
      </c>
      <c r="I259" t="s">
        <v>14</v>
      </c>
      <c r="J259">
        <v>3</v>
      </c>
      <c r="K259" s="1" t="str">
        <f t="shared" ref="K259:K322" si="12">IF(B259&lt;30,"18-29",IF(B259&lt;45,"30-44",IF(B259&lt;60,"45-59",IF(B259&lt;75,"60-74","75+"))))</f>
        <v>60-74</v>
      </c>
      <c r="L259" s="1" t="str">
        <f t="shared" ref="L259:L322" si="13">IF(F259&lt;=1000,"Low",IF(F259&lt;=8000,"Medium","High"))</f>
        <v>Medium</v>
      </c>
      <c r="M259" s="1" t="str">
        <f t="shared" ref="M259:M322" si="14">IF(J259&gt;=4,"Yes","No")</f>
        <v>No</v>
      </c>
    </row>
    <row r="260" spans="1:13" x14ac:dyDescent="0.35">
      <c r="A260">
        <v>263</v>
      </c>
      <c r="B260">
        <v>45</v>
      </c>
      <c r="C260" t="s">
        <v>15</v>
      </c>
      <c r="D260" t="s">
        <v>30</v>
      </c>
      <c r="E260" t="s">
        <v>31</v>
      </c>
      <c r="F260">
        <v>3000</v>
      </c>
      <c r="G260">
        <v>23</v>
      </c>
      <c r="H260" t="s">
        <v>13</v>
      </c>
      <c r="I260" t="s">
        <v>14</v>
      </c>
      <c r="J260">
        <v>4</v>
      </c>
      <c r="K260" s="1" t="str">
        <f t="shared" si="12"/>
        <v>45-59</v>
      </c>
      <c r="L260" s="1" t="str">
        <f t="shared" si="13"/>
        <v>Medium</v>
      </c>
      <c r="M260" s="1" t="str">
        <f t="shared" si="14"/>
        <v>Yes</v>
      </c>
    </row>
    <row r="261" spans="1:13" x14ac:dyDescent="0.35">
      <c r="A261">
        <v>264</v>
      </c>
      <c r="B261">
        <v>75</v>
      </c>
      <c r="C261" t="s">
        <v>10</v>
      </c>
      <c r="D261" t="s">
        <v>32</v>
      </c>
      <c r="E261" t="s">
        <v>33</v>
      </c>
      <c r="F261">
        <v>18000</v>
      </c>
      <c r="G261">
        <v>25</v>
      </c>
      <c r="H261" t="s">
        <v>18</v>
      </c>
      <c r="I261" t="s">
        <v>19</v>
      </c>
      <c r="J261">
        <v>2</v>
      </c>
      <c r="K261" s="1" t="str">
        <f t="shared" si="12"/>
        <v>75+</v>
      </c>
      <c r="L261" s="1" t="str">
        <f t="shared" si="13"/>
        <v>High</v>
      </c>
      <c r="M261" s="1" t="str">
        <f t="shared" si="14"/>
        <v>No</v>
      </c>
    </row>
    <row r="262" spans="1:13" x14ac:dyDescent="0.35">
      <c r="A262">
        <v>265</v>
      </c>
      <c r="B262">
        <v>28</v>
      </c>
      <c r="C262" t="s">
        <v>15</v>
      </c>
      <c r="D262" t="s">
        <v>34</v>
      </c>
      <c r="E262" t="s">
        <v>35</v>
      </c>
      <c r="F262">
        <v>100</v>
      </c>
      <c r="G262">
        <v>18</v>
      </c>
      <c r="H262" t="s">
        <v>13</v>
      </c>
      <c r="I262" t="s">
        <v>14</v>
      </c>
      <c r="J262">
        <v>5</v>
      </c>
      <c r="K262" s="1" t="str">
        <f t="shared" si="12"/>
        <v>18-29</v>
      </c>
      <c r="L262" s="1" t="str">
        <f t="shared" si="13"/>
        <v>Low</v>
      </c>
      <c r="M262" s="1" t="str">
        <f t="shared" si="14"/>
        <v>Yes</v>
      </c>
    </row>
    <row r="263" spans="1:13" x14ac:dyDescent="0.35">
      <c r="A263">
        <v>266</v>
      </c>
      <c r="B263">
        <v>52</v>
      </c>
      <c r="C263" t="s">
        <v>10</v>
      </c>
      <c r="D263" t="s">
        <v>36</v>
      </c>
      <c r="E263" t="s">
        <v>37</v>
      </c>
      <c r="F263">
        <v>800</v>
      </c>
      <c r="G263">
        <v>19</v>
      </c>
      <c r="H263" t="s">
        <v>13</v>
      </c>
      <c r="I263" t="s">
        <v>19</v>
      </c>
      <c r="J263">
        <v>4</v>
      </c>
      <c r="K263" s="1" t="str">
        <f t="shared" si="12"/>
        <v>45-59</v>
      </c>
      <c r="L263" s="1" t="str">
        <f t="shared" si="13"/>
        <v>Low</v>
      </c>
      <c r="M263" s="1" t="str">
        <f t="shared" si="14"/>
        <v>Yes</v>
      </c>
    </row>
    <row r="264" spans="1:13" x14ac:dyDescent="0.35">
      <c r="A264">
        <v>267</v>
      </c>
      <c r="B264">
        <v>67</v>
      </c>
      <c r="C264" t="s">
        <v>15</v>
      </c>
      <c r="D264" t="s">
        <v>38</v>
      </c>
      <c r="E264" t="s">
        <v>39</v>
      </c>
      <c r="F264">
        <v>20000</v>
      </c>
      <c r="G264">
        <v>26</v>
      </c>
      <c r="H264" t="s">
        <v>13</v>
      </c>
      <c r="I264" t="s">
        <v>14</v>
      </c>
      <c r="J264">
        <v>3</v>
      </c>
      <c r="K264" s="1" t="str">
        <f t="shared" si="12"/>
        <v>60-74</v>
      </c>
      <c r="L264" s="1" t="str">
        <f t="shared" si="13"/>
        <v>High</v>
      </c>
      <c r="M264" s="1" t="str">
        <f t="shared" si="14"/>
        <v>No</v>
      </c>
    </row>
    <row r="265" spans="1:13" x14ac:dyDescent="0.35">
      <c r="A265">
        <v>268</v>
      </c>
      <c r="B265">
        <v>35</v>
      </c>
      <c r="C265" t="s">
        <v>10</v>
      </c>
      <c r="D265" t="s">
        <v>40</v>
      </c>
      <c r="E265" t="s">
        <v>41</v>
      </c>
      <c r="F265">
        <v>12000</v>
      </c>
      <c r="G265">
        <v>20</v>
      </c>
      <c r="H265" t="s">
        <v>13</v>
      </c>
      <c r="I265" t="s">
        <v>14</v>
      </c>
      <c r="J265">
        <v>4</v>
      </c>
      <c r="K265" s="1" t="str">
        <f t="shared" si="12"/>
        <v>30-44</v>
      </c>
      <c r="L265" s="1" t="str">
        <f t="shared" si="13"/>
        <v>High</v>
      </c>
      <c r="M265" s="1" t="str">
        <f t="shared" si="14"/>
        <v>Yes</v>
      </c>
    </row>
    <row r="266" spans="1:13" x14ac:dyDescent="0.35">
      <c r="A266">
        <v>269</v>
      </c>
      <c r="B266">
        <v>50</v>
      </c>
      <c r="C266" t="s">
        <v>15</v>
      </c>
      <c r="D266" t="s">
        <v>42</v>
      </c>
      <c r="E266" t="s">
        <v>43</v>
      </c>
      <c r="F266">
        <v>6000</v>
      </c>
      <c r="G266">
        <v>21</v>
      </c>
      <c r="H266" t="s">
        <v>13</v>
      </c>
      <c r="I266" t="s">
        <v>14</v>
      </c>
      <c r="J266">
        <v>3</v>
      </c>
      <c r="K266" s="1" t="str">
        <f t="shared" si="12"/>
        <v>45-59</v>
      </c>
      <c r="L266" s="1" t="str">
        <f t="shared" si="13"/>
        <v>Medium</v>
      </c>
      <c r="M266" s="1" t="str">
        <f t="shared" si="14"/>
        <v>No</v>
      </c>
    </row>
    <row r="267" spans="1:13" x14ac:dyDescent="0.35">
      <c r="A267">
        <v>270</v>
      </c>
      <c r="B267">
        <v>60</v>
      </c>
      <c r="C267" t="s">
        <v>10</v>
      </c>
      <c r="D267" t="s">
        <v>44</v>
      </c>
      <c r="E267" t="s">
        <v>45</v>
      </c>
      <c r="F267">
        <v>4000</v>
      </c>
      <c r="G267">
        <v>22</v>
      </c>
      <c r="H267" t="s">
        <v>13</v>
      </c>
      <c r="I267" t="s">
        <v>19</v>
      </c>
      <c r="J267">
        <v>4</v>
      </c>
      <c r="K267" s="1" t="str">
        <f t="shared" si="12"/>
        <v>60-74</v>
      </c>
      <c r="L267" s="1" t="str">
        <f t="shared" si="13"/>
        <v>Medium</v>
      </c>
      <c r="M267" s="1" t="str">
        <f t="shared" si="14"/>
        <v>Yes</v>
      </c>
    </row>
    <row r="268" spans="1:13" x14ac:dyDescent="0.35">
      <c r="A268">
        <v>271</v>
      </c>
      <c r="B268">
        <v>48</v>
      </c>
      <c r="C268" t="s">
        <v>10</v>
      </c>
      <c r="D268" t="s">
        <v>11</v>
      </c>
      <c r="E268" t="s">
        <v>12</v>
      </c>
      <c r="F268">
        <v>15000</v>
      </c>
      <c r="G268">
        <v>23</v>
      </c>
      <c r="H268" t="s">
        <v>18</v>
      </c>
      <c r="I268" t="s">
        <v>14</v>
      </c>
      <c r="J268">
        <v>4</v>
      </c>
      <c r="K268" s="1" t="str">
        <f t="shared" si="12"/>
        <v>45-59</v>
      </c>
      <c r="L268" s="1" t="str">
        <f t="shared" si="13"/>
        <v>High</v>
      </c>
      <c r="M268" s="1" t="str">
        <f t="shared" si="14"/>
        <v>Yes</v>
      </c>
    </row>
    <row r="269" spans="1:13" x14ac:dyDescent="0.35">
      <c r="A269">
        <v>272</v>
      </c>
      <c r="B269">
        <v>65</v>
      </c>
      <c r="C269" t="s">
        <v>15</v>
      </c>
      <c r="D269" t="s">
        <v>16</v>
      </c>
      <c r="E269" t="s">
        <v>17</v>
      </c>
      <c r="F269">
        <v>2000</v>
      </c>
      <c r="G269">
        <v>21</v>
      </c>
      <c r="H269" t="s">
        <v>13</v>
      </c>
      <c r="I269" t="s">
        <v>19</v>
      </c>
      <c r="J269">
        <v>3</v>
      </c>
      <c r="K269" s="1" t="str">
        <f t="shared" si="12"/>
        <v>60-74</v>
      </c>
      <c r="L269" s="1" t="str">
        <f t="shared" si="13"/>
        <v>Medium</v>
      </c>
      <c r="M269" s="1" t="str">
        <f t="shared" si="14"/>
        <v>No</v>
      </c>
    </row>
    <row r="270" spans="1:13" x14ac:dyDescent="0.35">
      <c r="A270">
        <v>273</v>
      </c>
      <c r="B270">
        <v>30</v>
      </c>
      <c r="C270" t="s">
        <v>10</v>
      </c>
      <c r="D270" t="s">
        <v>20</v>
      </c>
      <c r="E270" t="s">
        <v>21</v>
      </c>
      <c r="F270">
        <v>500</v>
      </c>
      <c r="G270">
        <v>19</v>
      </c>
      <c r="H270" t="s">
        <v>13</v>
      </c>
      <c r="I270" t="s">
        <v>14</v>
      </c>
      <c r="J270">
        <v>5</v>
      </c>
      <c r="K270" s="1" t="str">
        <f t="shared" si="12"/>
        <v>30-44</v>
      </c>
      <c r="L270" s="1" t="str">
        <f t="shared" si="13"/>
        <v>Low</v>
      </c>
      <c r="M270" s="1" t="str">
        <f t="shared" si="14"/>
        <v>Yes</v>
      </c>
    </row>
    <row r="271" spans="1:13" x14ac:dyDescent="0.35">
      <c r="A271">
        <v>274</v>
      </c>
      <c r="B271">
        <v>70</v>
      </c>
      <c r="C271" t="s">
        <v>15</v>
      </c>
      <c r="D271" t="s">
        <v>22</v>
      </c>
      <c r="E271" t="s">
        <v>23</v>
      </c>
      <c r="F271">
        <v>10000</v>
      </c>
      <c r="G271">
        <v>25</v>
      </c>
      <c r="H271" t="s">
        <v>18</v>
      </c>
      <c r="I271" t="s">
        <v>19</v>
      </c>
      <c r="J271">
        <v>2</v>
      </c>
      <c r="K271" s="1" t="str">
        <f t="shared" si="12"/>
        <v>60-74</v>
      </c>
      <c r="L271" s="1" t="str">
        <f t="shared" si="13"/>
        <v>High</v>
      </c>
      <c r="M271" s="1" t="str">
        <f t="shared" si="14"/>
        <v>No</v>
      </c>
    </row>
    <row r="272" spans="1:13" x14ac:dyDescent="0.35">
      <c r="A272">
        <v>275</v>
      </c>
      <c r="B272">
        <v>55</v>
      </c>
      <c r="C272" t="s">
        <v>10</v>
      </c>
      <c r="D272" t="s">
        <v>24</v>
      </c>
      <c r="E272" t="s">
        <v>25</v>
      </c>
      <c r="F272">
        <v>25000</v>
      </c>
      <c r="G272">
        <v>28</v>
      </c>
      <c r="H272" t="s">
        <v>13</v>
      </c>
      <c r="I272" t="s">
        <v>14</v>
      </c>
      <c r="J272">
        <v>4</v>
      </c>
      <c r="K272" s="1" t="str">
        <f t="shared" si="12"/>
        <v>45-59</v>
      </c>
      <c r="L272" s="1" t="str">
        <f t="shared" si="13"/>
        <v>High</v>
      </c>
      <c r="M272" s="1" t="str">
        <f t="shared" si="14"/>
        <v>Yes</v>
      </c>
    </row>
    <row r="273" spans="1:13" x14ac:dyDescent="0.35">
      <c r="A273">
        <v>276</v>
      </c>
      <c r="B273">
        <v>68</v>
      </c>
      <c r="C273" t="s">
        <v>15</v>
      </c>
      <c r="D273" t="s">
        <v>26</v>
      </c>
      <c r="E273" t="s">
        <v>27</v>
      </c>
      <c r="F273">
        <v>1000</v>
      </c>
      <c r="G273">
        <v>20</v>
      </c>
      <c r="H273" t="s">
        <v>13</v>
      </c>
      <c r="I273" t="s">
        <v>19</v>
      </c>
      <c r="J273">
        <v>4</v>
      </c>
      <c r="K273" s="1" t="str">
        <f t="shared" si="12"/>
        <v>60-74</v>
      </c>
      <c r="L273" s="1" t="str">
        <f t="shared" si="13"/>
        <v>Low</v>
      </c>
      <c r="M273" s="1" t="str">
        <f t="shared" si="14"/>
        <v>Yes</v>
      </c>
    </row>
    <row r="274" spans="1:13" x14ac:dyDescent="0.35">
      <c r="A274">
        <v>277</v>
      </c>
      <c r="B274">
        <v>45</v>
      </c>
      <c r="C274" t="s">
        <v>10</v>
      </c>
      <c r="D274" t="s">
        <v>28</v>
      </c>
      <c r="E274" t="s">
        <v>29</v>
      </c>
      <c r="F274">
        <v>8000</v>
      </c>
      <c r="G274">
        <v>22</v>
      </c>
      <c r="H274" t="s">
        <v>13</v>
      </c>
      <c r="I274" t="s">
        <v>14</v>
      </c>
      <c r="J274">
        <v>3</v>
      </c>
      <c r="K274" s="1" t="str">
        <f t="shared" si="12"/>
        <v>45-59</v>
      </c>
      <c r="L274" s="1" t="str">
        <f t="shared" si="13"/>
        <v>Medium</v>
      </c>
      <c r="M274" s="1" t="str">
        <f t="shared" si="14"/>
        <v>No</v>
      </c>
    </row>
    <row r="275" spans="1:13" x14ac:dyDescent="0.35">
      <c r="A275">
        <v>278</v>
      </c>
      <c r="B275">
        <v>40</v>
      </c>
      <c r="C275" t="s">
        <v>15</v>
      </c>
      <c r="D275" t="s">
        <v>30</v>
      </c>
      <c r="E275" t="s">
        <v>31</v>
      </c>
      <c r="F275">
        <v>3000</v>
      </c>
      <c r="G275">
        <v>24</v>
      </c>
      <c r="H275" t="s">
        <v>13</v>
      </c>
      <c r="I275" t="s">
        <v>14</v>
      </c>
      <c r="J275">
        <v>4</v>
      </c>
      <c r="K275" s="1" t="str">
        <f t="shared" si="12"/>
        <v>30-44</v>
      </c>
      <c r="L275" s="1" t="str">
        <f t="shared" si="13"/>
        <v>Medium</v>
      </c>
      <c r="M275" s="1" t="str">
        <f t="shared" si="14"/>
        <v>Yes</v>
      </c>
    </row>
    <row r="276" spans="1:13" x14ac:dyDescent="0.35">
      <c r="A276">
        <v>279</v>
      </c>
      <c r="B276">
        <v>78</v>
      </c>
      <c r="C276" t="s">
        <v>10</v>
      </c>
      <c r="D276" t="s">
        <v>32</v>
      </c>
      <c r="E276" t="s">
        <v>33</v>
      </c>
      <c r="F276">
        <v>18000</v>
      </c>
      <c r="G276">
        <v>26</v>
      </c>
      <c r="H276" t="s">
        <v>18</v>
      </c>
      <c r="I276" t="s">
        <v>19</v>
      </c>
      <c r="J276">
        <v>2</v>
      </c>
      <c r="K276" s="1" t="str">
        <f t="shared" si="12"/>
        <v>75+</v>
      </c>
      <c r="L276" s="1" t="str">
        <f t="shared" si="13"/>
        <v>High</v>
      </c>
      <c r="M276" s="1" t="str">
        <f t="shared" si="14"/>
        <v>No</v>
      </c>
    </row>
    <row r="277" spans="1:13" x14ac:dyDescent="0.35">
      <c r="A277">
        <v>280</v>
      </c>
      <c r="B277">
        <v>25</v>
      </c>
      <c r="C277" t="s">
        <v>15</v>
      </c>
      <c r="D277" t="s">
        <v>34</v>
      </c>
      <c r="E277" t="s">
        <v>35</v>
      </c>
      <c r="F277">
        <v>100</v>
      </c>
      <c r="G277">
        <v>19</v>
      </c>
      <c r="H277" t="s">
        <v>13</v>
      </c>
      <c r="I277" t="s">
        <v>14</v>
      </c>
      <c r="J277">
        <v>5</v>
      </c>
      <c r="K277" s="1" t="str">
        <f t="shared" si="12"/>
        <v>18-29</v>
      </c>
      <c r="L277" s="1" t="str">
        <f t="shared" si="13"/>
        <v>Low</v>
      </c>
      <c r="M277" s="1" t="str">
        <f t="shared" si="14"/>
        <v>Yes</v>
      </c>
    </row>
    <row r="278" spans="1:13" x14ac:dyDescent="0.35">
      <c r="A278">
        <v>281</v>
      </c>
      <c r="B278">
        <v>52</v>
      </c>
      <c r="C278" t="s">
        <v>10</v>
      </c>
      <c r="D278" t="s">
        <v>36</v>
      </c>
      <c r="E278" t="s">
        <v>37</v>
      </c>
      <c r="F278">
        <v>800</v>
      </c>
      <c r="G278">
        <v>20</v>
      </c>
      <c r="H278" t="s">
        <v>13</v>
      </c>
      <c r="I278" t="s">
        <v>19</v>
      </c>
      <c r="J278">
        <v>4</v>
      </c>
      <c r="K278" s="1" t="str">
        <f t="shared" si="12"/>
        <v>45-59</v>
      </c>
      <c r="L278" s="1" t="str">
        <f t="shared" si="13"/>
        <v>Low</v>
      </c>
      <c r="M278" s="1" t="str">
        <f t="shared" si="14"/>
        <v>Yes</v>
      </c>
    </row>
    <row r="279" spans="1:13" x14ac:dyDescent="0.35">
      <c r="A279">
        <v>282</v>
      </c>
      <c r="B279">
        <v>58</v>
      </c>
      <c r="C279" t="s">
        <v>15</v>
      </c>
      <c r="D279" t="s">
        <v>38</v>
      </c>
      <c r="E279" t="s">
        <v>39</v>
      </c>
      <c r="F279">
        <v>20000</v>
      </c>
      <c r="G279">
        <v>27</v>
      </c>
      <c r="H279" t="s">
        <v>13</v>
      </c>
      <c r="I279" t="s">
        <v>14</v>
      </c>
      <c r="J279">
        <v>3</v>
      </c>
      <c r="K279" s="1" t="str">
        <f t="shared" si="12"/>
        <v>45-59</v>
      </c>
      <c r="L279" s="1" t="str">
        <f t="shared" si="13"/>
        <v>High</v>
      </c>
      <c r="M279" s="1" t="str">
        <f t="shared" si="14"/>
        <v>No</v>
      </c>
    </row>
    <row r="280" spans="1:13" x14ac:dyDescent="0.35">
      <c r="A280">
        <v>283</v>
      </c>
      <c r="B280">
        <v>32</v>
      </c>
      <c r="C280" t="s">
        <v>10</v>
      </c>
      <c r="D280" t="s">
        <v>40</v>
      </c>
      <c r="E280" t="s">
        <v>41</v>
      </c>
      <c r="F280">
        <v>12000</v>
      </c>
      <c r="G280">
        <v>21</v>
      </c>
      <c r="H280" t="s">
        <v>13</v>
      </c>
      <c r="I280" t="s">
        <v>14</v>
      </c>
      <c r="J280">
        <v>4</v>
      </c>
      <c r="K280" s="1" t="str">
        <f t="shared" si="12"/>
        <v>30-44</v>
      </c>
      <c r="L280" s="1" t="str">
        <f t="shared" si="13"/>
        <v>High</v>
      </c>
      <c r="M280" s="1" t="str">
        <f t="shared" si="14"/>
        <v>Yes</v>
      </c>
    </row>
    <row r="281" spans="1:13" x14ac:dyDescent="0.35">
      <c r="A281">
        <v>284</v>
      </c>
      <c r="B281">
        <v>55</v>
      </c>
      <c r="C281" t="s">
        <v>15</v>
      </c>
      <c r="D281" t="s">
        <v>42</v>
      </c>
      <c r="E281" t="s">
        <v>43</v>
      </c>
      <c r="F281">
        <v>6000</v>
      </c>
      <c r="G281">
        <v>22</v>
      </c>
      <c r="H281" t="s">
        <v>13</v>
      </c>
      <c r="I281" t="s">
        <v>14</v>
      </c>
      <c r="J281">
        <v>3</v>
      </c>
      <c r="K281" s="1" t="str">
        <f t="shared" si="12"/>
        <v>45-59</v>
      </c>
      <c r="L281" s="1" t="str">
        <f t="shared" si="13"/>
        <v>Medium</v>
      </c>
      <c r="M281" s="1" t="str">
        <f t="shared" si="14"/>
        <v>No</v>
      </c>
    </row>
    <row r="282" spans="1:13" x14ac:dyDescent="0.35">
      <c r="A282">
        <v>285</v>
      </c>
      <c r="B282">
        <v>65</v>
      </c>
      <c r="C282" t="s">
        <v>10</v>
      </c>
      <c r="D282" t="s">
        <v>44</v>
      </c>
      <c r="E282" t="s">
        <v>45</v>
      </c>
      <c r="F282">
        <v>4000</v>
      </c>
      <c r="G282">
        <v>23</v>
      </c>
      <c r="H282" t="s">
        <v>13</v>
      </c>
      <c r="I282" t="s">
        <v>19</v>
      </c>
      <c r="J282">
        <v>4</v>
      </c>
      <c r="K282" s="1" t="str">
        <f t="shared" si="12"/>
        <v>60-74</v>
      </c>
      <c r="L282" s="1" t="str">
        <f t="shared" si="13"/>
        <v>Medium</v>
      </c>
      <c r="M282" s="1" t="str">
        <f t="shared" si="14"/>
        <v>Yes</v>
      </c>
    </row>
    <row r="283" spans="1:13" x14ac:dyDescent="0.35">
      <c r="A283">
        <v>286</v>
      </c>
      <c r="B283">
        <v>55</v>
      </c>
      <c r="C283" t="s">
        <v>10</v>
      </c>
      <c r="D283" t="s">
        <v>11</v>
      </c>
      <c r="E283" t="s">
        <v>12</v>
      </c>
      <c r="F283">
        <v>15000</v>
      </c>
      <c r="G283">
        <v>24</v>
      </c>
      <c r="H283" t="s">
        <v>18</v>
      </c>
      <c r="I283" t="s">
        <v>14</v>
      </c>
      <c r="J283">
        <v>3</v>
      </c>
      <c r="K283" s="1" t="str">
        <f t="shared" si="12"/>
        <v>45-59</v>
      </c>
      <c r="L283" s="1" t="str">
        <f t="shared" si="13"/>
        <v>High</v>
      </c>
      <c r="M283" s="1" t="str">
        <f t="shared" si="14"/>
        <v>No</v>
      </c>
    </row>
    <row r="284" spans="1:13" x14ac:dyDescent="0.35">
      <c r="A284">
        <v>287</v>
      </c>
      <c r="B284">
        <v>62</v>
      </c>
      <c r="C284" t="s">
        <v>15</v>
      </c>
      <c r="D284" t="s">
        <v>16</v>
      </c>
      <c r="E284" t="s">
        <v>17</v>
      </c>
      <c r="F284">
        <v>2000</v>
      </c>
      <c r="G284">
        <v>22</v>
      </c>
      <c r="H284" t="s">
        <v>13</v>
      </c>
      <c r="I284" t="s">
        <v>19</v>
      </c>
      <c r="J284">
        <v>4</v>
      </c>
      <c r="K284" s="1" t="str">
        <f t="shared" si="12"/>
        <v>60-74</v>
      </c>
      <c r="L284" s="1" t="str">
        <f t="shared" si="13"/>
        <v>Medium</v>
      </c>
      <c r="M284" s="1" t="str">
        <f t="shared" si="14"/>
        <v>Yes</v>
      </c>
    </row>
    <row r="285" spans="1:13" x14ac:dyDescent="0.35">
      <c r="A285">
        <v>288</v>
      </c>
      <c r="B285">
        <v>35</v>
      </c>
      <c r="C285" t="s">
        <v>10</v>
      </c>
      <c r="D285" t="s">
        <v>20</v>
      </c>
      <c r="E285" t="s">
        <v>21</v>
      </c>
      <c r="F285">
        <v>500</v>
      </c>
      <c r="G285">
        <v>20</v>
      </c>
      <c r="H285" t="s">
        <v>18</v>
      </c>
      <c r="I285" t="s">
        <v>14</v>
      </c>
      <c r="J285">
        <v>5</v>
      </c>
      <c r="K285" s="1" t="str">
        <f t="shared" si="12"/>
        <v>30-44</v>
      </c>
      <c r="L285" s="1" t="str">
        <f t="shared" si="13"/>
        <v>Low</v>
      </c>
      <c r="M285" s="1" t="str">
        <f t="shared" si="14"/>
        <v>Yes</v>
      </c>
    </row>
    <row r="286" spans="1:13" x14ac:dyDescent="0.35">
      <c r="A286">
        <v>289</v>
      </c>
      <c r="B286">
        <v>78</v>
      </c>
      <c r="C286" t="s">
        <v>15</v>
      </c>
      <c r="D286" t="s">
        <v>22</v>
      </c>
      <c r="E286" t="s">
        <v>23</v>
      </c>
      <c r="F286">
        <v>10000</v>
      </c>
      <c r="G286">
        <v>26</v>
      </c>
      <c r="H286" t="s">
        <v>13</v>
      </c>
      <c r="I286" t="s">
        <v>19</v>
      </c>
      <c r="J286">
        <v>2</v>
      </c>
      <c r="K286" s="1" t="str">
        <f t="shared" si="12"/>
        <v>75+</v>
      </c>
      <c r="L286" s="1" t="str">
        <f t="shared" si="13"/>
        <v>High</v>
      </c>
      <c r="M286" s="1" t="str">
        <f t="shared" si="14"/>
        <v>No</v>
      </c>
    </row>
    <row r="287" spans="1:13" x14ac:dyDescent="0.35">
      <c r="A287">
        <v>290</v>
      </c>
      <c r="B287">
        <v>53</v>
      </c>
      <c r="C287" t="s">
        <v>10</v>
      </c>
      <c r="D287" t="s">
        <v>24</v>
      </c>
      <c r="E287" t="s">
        <v>25</v>
      </c>
      <c r="F287">
        <v>25000</v>
      </c>
      <c r="G287">
        <v>29</v>
      </c>
      <c r="H287" t="s">
        <v>18</v>
      </c>
      <c r="I287" t="s">
        <v>14</v>
      </c>
      <c r="J287">
        <v>4</v>
      </c>
      <c r="K287" s="1" t="str">
        <f t="shared" si="12"/>
        <v>45-59</v>
      </c>
      <c r="L287" s="1" t="str">
        <f t="shared" si="13"/>
        <v>High</v>
      </c>
      <c r="M287" s="1" t="str">
        <f t="shared" si="14"/>
        <v>Yes</v>
      </c>
    </row>
    <row r="288" spans="1:13" x14ac:dyDescent="0.35">
      <c r="A288">
        <v>291</v>
      </c>
      <c r="B288">
        <v>72</v>
      </c>
      <c r="C288" t="s">
        <v>15</v>
      </c>
      <c r="D288" t="s">
        <v>26</v>
      </c>
      <c r="E288" t="s">
        <v>27</v>
      </c>
      <c r="F288">
        <v>1000</v>
      </c>
      <c r="G288">
        <v>21</v>
      </c>
      <c r="H288" t="s">
        <v>13</v>
      </c>
      <c r="I288" t="s">
        <v>19</v>
      </c>
      <c r="J288">
        <v>4</v>
      </c>
      <c r="K288" s="1" t="str">
        <f t="shared" si="12"/>
        <v>60-74</v>
      </c>
      <c r="L288" s="1" t="str">
        <f t="shared" si="13"/>
        <v>Low</v>
      </c>
      <c r="M288" s="1" t="str">
        <f t="shared" si="14"/>
        <v>Yes</v>
      </c>
    </row>
    <row r="289" spans="1:13" x14ac:dyDescent="0.35">
      <c r="A289">
        <v>292</v>
      </c>
      <c r="B289">
        <v>60</v>
      </c>
      <c r="C289" t="s">
        <v>10</v>
      </c>
      <c r="D289" t="s">
        <v>28</v>
      </c>
      <c r="E289" t="s">
        <v>29</v>
      </c>
      <c r="F289">
        <v>8000</v>
      </c>
      <c r="G289">
        <v>23</v>
      </c>
      <c r="H289" t="s">
        <v>18</v>
      </c>
      <c r="I289" t="s">
        <v>14</v>
      </c>
      <c r="J289">
        <v>3</v>
      </c>
      <c r="K289" s="1" t="str">
        <f t="shared" si="12"/>
        <v>60-74</v>
      </c>
      <c r="L289" s="1" t="str">
        <f t="shared" si="13"/>
        <v>Medium</v>
      </c>
      <c r="M289" s="1" t="str">
        <f t="shared" si="14"/>
        <v>No</v>
      </c>
    </row>
    <row r="290" spans="1:13" x14ac:dyDescent="0.35">
      <c r="A290">
        <v>293</v>
      </c>
      <c r="B290">
        <v>45</v>
      </c>
      <c r="C290" t="s">
        <v>15</v>
      </c>
      <c r="D290" t="s">
        <v>30</v>
      </c>
      <c r="E290" t="s">
        <v>31</v>
      </c>
      <c r="F290">
        <v>3000</v>
      </c>
      <c r="G290">
        <v>25</v>
      </c>
      <c r="H290" t="s">
        <v>13</v>
      </c>
      <c r="I290" t="s">
        <v>14</v>
      </c>
      <c r="J290">
        <v>4</v>
      </c>
      <c r="K290" s="1" t="str">
        <f t="shared" si="12"/>
        <v>45-59</v>
      </c>
      <c r="L290" s="1" t="str">
        <f t="shared" si="13"/>
        <v>Medium</v>
      </c>
      <c r="M290" s="1" t="str">
        <f t="shared" si="14"/>
        <v>Yes</v>
      </c>
    </row>
    <row r="291" spans="1:13" x14ac:dyDescent="0.35">
      <c r="A291">
        <v>294</v>
      </c>
      <c r="B291">
        <v>75</v>
      </c>
      <c r="C291" t="s">
        <v>10</v>
      </c>
      <c r="D291" t="s">
        <v>32</v>
      </c>
      <c r="E291" t="s">
        <v>33</v>
      </c>
      <c r="F291">
        <v>18000</v>
      </c>
      <c r="G291">
        <v>27</v>
      </c>
      <c r="H291" t="s">
        <v>18</v>
      </c>
      <c r="I291" t="s">
        <v>19</v>
      </c>
      <c r="J291">
        <v>2</v>
      </c>
      <c r="K291" s="1" t="str">
        <f t="shared" si="12"/>
        <v>75+</v>
      </c>
      <c r="L291" s="1" t="str">
        <f t="shared" si="13"/>
        <v>High</v>
      </c>
      <c r="M291" s="1" t="str">
        <f t="shared" si="14"/>
        <v>No</v>
      </c>
    </row>
    <row r="292" spans="1:13" x14ac:dyDescent="0.35">
      <c r="A292">
        <v>296</v>
      </c>
      <c r="B292">
        <v>52</v>
      </c>
      <c r="C292" t="s">
        <v>10</v>
      </c>
      <c r="D292" t="s">
        <v>36</v>
      </c>
      <c r="E292" t="s">
        <v>37</v>
      </c>
      <c r="F292">
        <v>800</v>
      </c>
      <c r="G292">
        <v>21</v>
      </c>
      <c r="H292" t="s">
        <v>13</v>
      </c>
      <c r="I292" t="s">
        <v>19</v>
      </c>
      <c r="J292">
        <v>4</v>
      </c>
      <c r="K292" s="1" t="str">
        <f t="shared" si="12"/>
        <v>45-59</v>
      </c>
      <c r="L292" s="1" t="str">
        <f t="shared" si="13"/>
        <v>Low</v>
      </c>
      <c r="M292" s="1" t="str">
        <f t="shared" si="14"/>
        <v>Yes</v>
      </c>
    </row>
    <row r="293" spans="1:13" x14ac:dyDescent="0.35">
      <c r="A293">
        <v>297</v>
      </c>
      <c r="B293">
        <v>67</v>
      </c>
      <c r="C293" t="s">
        <v>15</v>
      </c>
      <c r="D293" t="s">
        <v>38</v>
      </c>
      <c r="E293" t="s">
        <v>39</v>
      </c>
      <c r="F293">
        <v>20000</v>
      </c>
      <c r="G293">
        <v>28</v>
      </c>
      <c r="H293" t="s">
        <v>13</v>
      </c>
      <c r="I293" t="s">
        <v>14</v>
      </c>
      <c r="J293">
        <v>3</v>
      </c>
      <c r="K293" s="1" t="str">
        <f t="shared" si="12"/>
        <v>60-74</v>
      </c>
      <c r="L293" s="1" t="str">
        <f t="shared" si="13"/>
        <v>High</v>
      </c>
      <c r="M293" s="1" t="str">
        <f t="shared" si="14"/>
        <v>No</v>
      </c>
    </row>
    <row r="294" spans="1:13" x14ac:dyDescent="0.35">
      <c r="A294">
        <v>298</v>
      </c>
      <c r="B294">
        <v>35</v>
      </c>
      <c r="C294" t="s">
        <v>10</v>
      </c>
      <c r="D294" t="s">
        <v>40</v>
      </c>
      <c r="E294" t="s">
        <v>41</v>
      </c>
      <c r="F294">
        <v>12000</v>
      </c>
      <c r="G294">
        <v>22</v>
      </c>
      <c r="H294" t="s">
        <v>13</v>
      </c>
      <c r="I294" t="s">
        <v>14</v>
      </c>
      <c r="J294">
        <v>4</v>
      </c>
      <c r="K294" s="1" t="str">
        <f t="shared" si="12"/>
        <v>30-44</v>
      </c>
      <c r="L294" s="1" t="str">
        <f t="shared" si="13"/>
        <v>High</v>
      </c>
      <c r="M294" s="1" t="str">
        <f t="shared" si="14"/>
        <v>Yes</v>
      </c>
    </row>
    <row r="295" spans="1:13" x14ac:dyDescent="0.35">
      <c r="A295">
        <v>299</v>
      </c>
      <c r="B295">
        <v>50</v>
      </c>
      <c r="C295" t="s">
        <v>15</v>
      </c>
      <c r="D295" t="s">
        <v>42</v>
      </c>
      <c r="E295" t="s">
        <v>43</v>
      </c>
      <c r="F295">
        <v>6000</v>
      </c>
      <c r="G295">
        <v>23</v>
      </c>
      <c r="H295" t="s">
        <v>13</v>
      </c>
      <c r="I295" t="s">
        <v>14</v>
      </c>
      <c r="J295">
        <v>3</v>
      </c>
      <c r="K295" s="1" t="str">
        <f t="shared" si="12"/>
        <v>45-59</v>
      </c>
      <c r="L295" s="1" t="str">
        <f t="shared" si="13"/>
        <v>Medium</v>
      </c>
      <c r="M295" s="1" t="str">
        <f t="shared" si="14"/>
        <v>No</v>
      </c>
    </row>
    <row r="296" spans="1:13" x14ac:dyDescent="0.35">
      <c r="A296">
        <v>300</v>
      </c>
      <c r="B296">
        <v>60</v>
      </c>
      <c r="C296" t="s">
        <v>10</v>
      </c>
      <c r="D296" t="s">
        <v>44</v>
      </c>
      <c r="E296" t="s">
        <v>45</v>
      </c>
      <c r="F296">
        <v>4000</v>
      </c>
      <c r="G296">
        <v>24</v>
      </c>
      <c r="H296" t="s">
        <v>13</v>
      </c>
      <c r="I296" t="s">
        <v>19</v>
      </c>
      <c r="J296">
        <v>4</v>
      </c>
      <c r="K296" s="1" t="str">
        <f t="shared" si="12"/>
        <v>60-74</v>
      </c>
      <c r="L296" s="1" t="str">
        <f t="shared" si="13"/>
        <v>Medium</v>
      </c>
      <c r="M296" s="1" t="str">
        <f t="shared" si="14"/>
        <v>Yes</v>
      </c>
    </row>
    <row r="297" spans="1:13" x14ac:dyDescent="0.35">
      <c r="A297">
        <v>301</v>
      </c>
      <c r="B297">
        <v>48</v>
      </c>
      <c r="C297" t="s">
        <v>10</v>
      </c>
      <c r="D297" t="s">
        <v>11</v>
      </c>
      <c r="E297" t="s">
        <v>12</v>
      </c>
      <c r="F297">
        <v>15000</v>
      </c>
      <c r="G297">
        <v>25</v>
      </c>
      <c r="H297" t="s">
        <v>18</v>
      </c>
      <c r="I297" t="s">
        <v>14</v>
      </c>
      <c r="J297">
        <v>4</v>
      </c>
      <c r="K297" s="1" t="str">
        <f t="shared" si="12"/>
        <v>45-59</v>
      </c>
      <c r="L297" s="1" t="str">
        <f t="shared" si="13"/>
        <v>High</v>
      </c>
      <c r="M297" s="1" t="str">
        <f t="shared" si="14"/>
        <v>Yes</v>
      </c>
    </row>
    <row r="298" spans="1:13" x14ac:dyDescent="0.35">
      <c r="A298">
        <v>302</v>
      </c>
      <c r="B298">
        <v>65</v>
      </c>
      <c r="C298" t="s">
        <v>15</v>
      </c>
      <c r="D298" t="s">
        <v>16</v>
      </c>
      <c r="E298" t="s">
        <v>17</v>
      </c>
      <c r="F298">
        <v>2000</v>
      </c>
      <c r="G298">
        <v>23</v>
      </c>
      <c r="H298" t="s">
        <v>13</v>
      </c>
      <c r="I298" t="s">
        <v>19</v>
      </c>
      <c r="J298">
        <v>3</v>
      </c>
      <c r="K298" s="1" t="str">
        <f t="shared" si="12"/>
        <v>60-74</v>
      </c>
      <c r="L298" s="1" t="str">
        <f t="shared" si="13"/>
        <v>Medium</v>
      </c>
      <c r="M298" s="1" t="str">
        <f t="shared" si="14"/>
        <v>No</v>
      </c>
    </row>
    <row r="299" spans="1:13" x14ac:dyDescent="0.35">
      <c r="A299">
        <v>303</v>
      </c>
      <c r="B299">
        <v>30</v>
      </c>
      <c r="C299" t="s">
        <v>10</v>
      </c>
      <c r="D299" t="s">
        <v>20</v>
      </c>
      <c r="E299" t="s">
        <v>21</v>
      </c>
      <c r="F299">
        <v>500</v>
      </c>
      <c r="G299">
        <v>21</v>
      </c>
      <c r="H299" t="s">
        <v>13</v>
      </c>
      <c r="I299" t="s">
        <v>14</v>
      </c>
      <c r="J299">
        <v>5</v>
      </c>
      <c r="K299" s="1" t="str">
        <f t="shared" si="12"/>
        <v>30-44</v>
      </c>
      <c r="L299" s="1" t="str">
        <f t="shared" si="13"/>
        <v>Low</v>
      </c>
      <c r="M299" s="1" t="str">
        <f t="shared" si="14"/>
        <v>Yes</v>
      </c>
    </row>
    <row r="300" spans="1:13" x14ac:dyDescent="0.35">
      <c r="A300">
        <v>304</v>
      </c>
      <c r="B300">
        <v>70</v>
      </c>
      <c r="C300" t="s">
        <v>15</v>
      </c>
      <c r="D300" t="s">
        <v>22</v>
      </c>
      <c r="E300" t="s">
        <v>23</v>
      </c>
      <c r="F300">
        <v>10000</v>
      </c>
      <c r="G300">
        <v>27</v>
      </c>
      <c r="H300" t="s">
        <v>18</v>
      </c>
      <c r="I300" t="s">
        <v>19</v>
      </c>
      <c r="J300">
        <v>2</v>
      </c>
      <c r="K300" s="1" t="str">
        <f t="shared" si="12"/>
        <v>60-74</v>
      </c>
      <c r="L300" s="1" t="str">
        <f t="shared" si="13"/>
        <v>High</v>
      </c>
      <c r="M300" s="1" t="str">
        <f t="shared" si="14"/>
        <v>No</v>
      </c>
    </row>
    <row r="301" spans="1:13" x14ac:dyDescent="0.35">
      <c r="A301">
        <v>305</v>
      </c>
      <c r="B301">
        <v>55</v>
      </c>
      <c r="C301" t="s">
        <v>10</v>
      </c>
      <c r="D301" t="s">
        <v>24</v>
      </c>
      <c r="E301" t="s">
        <v>25</v>
      </c>
      <c r="F301">
        <v>25000</v>
      </c>
      <c r="G301">
        <v>30</v>
      </c>
      <c r="H301" t="s">
        <v>13</v>
      </c>
      <c r="I301" t="s">
        <v>14</v>
      </c>
      <c r="J301">
        <v>4</v>
      </c>
      <c r="K301" s="1" t="str">
        <f t="shared" si="12"/>
        <v>45-59</v>
      </c>
      <c r="L301" s="1" t="str">
        <f t="shared" si="13"/>
        <v>High</v>
      </c>
      <c r="M301" s="1" t="str">
        <f t="shared" si="14"/>
        <v>Yes</v>
      </c>
    </row>
    <row r="302" spans="1:13" x14ac:dyDescent="0.35">
      <c r="A302">
        <v>306</v>
      </c>
      <c r="B302">
        <v>68</v>
      </c>
      <c r="C302" t="s">
        <v>15</v>
      </c>
      <c r="D302" t="s">
        <v>26</v>
      </c>
      <c r="E302" t="s">
        <v>27</v>
      </c>
      <c r="F302">
        <v>1000</v>
      </c>
      <c r="G302">
        <v>22</v>
      </c>
      <c r="H302" t="s">
        <v>13</v>
      </c>
      <c r="I302" t="s">
        <v>19</v>
      </c>
      <c r="J302">
        <v>4</v>
      </c>
      <c r="K302" s="1" t="str">
        <f t="shared" si="12"/>
        <v>60-74</v>
      </c>
      <c r="L302" s="1" t="str">
        <f t="shared" si="13"/>
        <v>Low</v>
      </c>
      <c r="M302" s="1" t="str">
        <f t="shared" si="14"/>
        <v>Yes</v>
      </c>
    </row>
    <row r="303" spans="1:13" x14ac:dyDescent="0.35">
      <c r="A303">
        <v>307</v>
      </c>
      <c r="B303">
        <v>45</v>
      </c>
      <c r="C303" t="s">
        <v>10</v>
      </c>
      <c r="D303" t="s">
        <v>28</v>
      </c>
      <c r="E303" t="s">
        <v>29</v>
      </c>
      <c r="F303">
        <v>8000</v>
      </c>
      <c r="G303">
        <v>24</v>
      </c>
      <c r="H303" t="s">
        <v>13</v>
      </c>
      <c r="I303" t="s">
        <v>14</v>
      </c>
      <c r="J303">
        <v>3</v>
      </c>
      <c r="K303" s="1" t="str">
        <f t="shared" si="12"/>
        <v>45-59</v>
      </c>
      <c r="L303" s="1" t="str">
        <f t="shared" si="13"/>
        <v>Medium</v>
      </c>
      <c r="M303" s="1" t="str">
        <f t="shared" si="14"/>
        <v>No</v>
      </c>
    </row>
    <row r="304" spans="1:13" x14ac:dyDescent="0.35">
      <c r="A304">
        <v>308</v>
      </c>
      <c r="B304">
        <v>40</v>
      </c>
      <c r="C304" t="s">
        <v>15</v>
      </c>
      <c r="D304" t="s">
        <v>30</v>
      </c>
      <c r="E304" t="s">
        <v>31</v>
      </c>
      <c r="F304">
        <v>3000</v>
      </c>
      <c r="G304">
        <v>26</v>
      </c>
      <c r="H304" t="s">
        <v>13</v>
      </c>
      <c r="I304" t="s">
        <v>14</v>
      </c>
      <c r="J304">
        <v>4</v>
      </c>
      <c r="K304" s="1" t="str">
        <f t="shared" si="12"/>
        <v>30-44</v>
      </c>
      <c r="L304" s="1" t="str">
        <f t="shared" si="13"/>
        <v>Medium</v>
      </c>
      <c r="M304" s="1" t="str">
        <f t="shared" si="14"/>
        <v>Yes</v>
      </c>
    </row>
    <row r="305" spans="1:13" x14ac:dyDescent="0.35">
      <c r="A305">
        <v>309</v>
      </c>
      <c r="B305">
        <v>78</v>
      </c>
      <c r="C305" t="s">
        <v>10</v>
      </c>
      <c r="D305" t="s">
        <v>32</v>
      </c>
      <c r="E305" t="s">
        <v>33</v>
      </c>
      <c r="F305">
        <v>18000</v>
      </c>
      <c r="G305">
        <v>28</v>
      </c>
      <c r="H305" t="s">
        <v>18</v>
      </c>
      <c r="I305" t="s">
        <v>19</v>
      </c>
      <c r="J305">
        <v>2</v>
      </c>
      <c r="K305" s="1" t="str">
        <f t="shared" si="12"/>
        <v>75+</v>
      </c>
      <c r="L305" s="1" t="str">
        <f t="shared" si="13"/>
        <v>High</v>
      </c>
      <c r="M305" s="1" t="str">
        <f t="shared" si="14"/>
        <v>No</v>
      </c>
    </row>
    <row r="306" spans="1:13" x14ac:dyDescent="0.35">
      <c r="A306">
        <v>310</v>
      </c>
      <c r="B306">
        <v>25</v>
      </c>
      <c r="C306" t="s">
        <v>15</v>
      </c>
      <c r="D306" t="s">
        <v>34</v>
      </c>
      <c r="E306" t="s">
        <v>35</v>
      </c>
      <c r="F306">
        <v>100</v>
      </c>
      <c r="G306">
        <v>21</v>
      </c>
      <c r="H306" t="s">
        <v>13</v>
      </c>
      <c r="I306" t="s">
        <v>14</v>
      </c>
      <c r="J306">
        <v>5</v>
      </c>
      <c r="K306" s="1" t="str">
        <f t="shared" si="12"/>
        <v>18-29</v>
      </c>
      <c r="L306" s="1" t="str">
        <f t="shared" si="13"/>
        <v>Low</v>
      </c>
      <c r="M306" s="1" t="str">
        <f t="shared" si="14"/>
        <v>Yes</v>
      </c>
    </row>
    <row r="307" spans="1:13" x14ac:dyDescent="0.35">
      <c r="A307">
        <v>311</v>
      </c>
      <c r="B307">
        <v>52</v>
      </c>
      <c r="C307" t="s">
        <v>10</v>
      </c>
      <c r="D307" t="s">
        <v>36</v>
      </c>
      <c r="E307" t="s">
        <v>37</v>
      </c>
      <c r="F307">
        <v>800</v>
      </c>
      <c r="G307">
        <v>22</v>
      </c>
      <c r="H307" t="s">
        <v>13</v>
      </c>
      <c r="I307" t="s">
        <v>19</v>
      </c>
      <c r="J307">
        <v>4</v>
      </c>
      <c r="K307" s="1" t="str">
        <f t="shared" si="12"/>
        <v>45-59</v>
      </c>
      <c r="L307" s="1" t="str">
        <f t="shared" si="13"/>
        <v>Low</v>
      </c>
      <c r="M307" s="1" t="str">
        <f t="shared" si="14"/>
        <v>Yes</v>
      </c>
    </row>
    <row r="308" spans="1:13" x14ac:dyDescent="0.35">
      <c r="A308">
        <v>312</v>
      </c>
      <c r="B308">
        <v>58</v>
      </c>
      <c r="C308" t="s">
        <v>15</v>
      </c>
      <c r="D308" t="s">
        <v>38</v>
      </c>
      <c r="E308" t="s">
        <v>39</v>
      </c>
      <c r="F308">
        <v>20000</v>
      </c>
      <c r="G308">
        <v>29</v>
      </c>
      <c r="H308" t="s">
        <v>13</v>
      </c>
      <c r="I308" t="s">
        <v>14</v>
      </c>
      <c r="J308">
        <v>3</v>
      </c>
      <c r="K308" s="1" t="str">
        <f t="shared" si="12"/>
        <v>45-59</v>
      </c>
      <c r="L308" s="1" t="str">
        <f t="shared" si="13"/>
        <v>High</v>
      </c>
      <c r="M308" s="1" t="str">
        <f t="shared" si="14"/>
        <v>No</v>
      </c>
    </row>
    <row r="309" spans="1:13" x14ac:dyDescent="0.35">
      <c r="A309">
        <v>313</v>
      </c>
      <c r="B309">
        <v>32</v>
      </c>
      <c r="C309" t="s">
        <v>10</v>
      </c>
      <c r="D309" t="s">
        <v>40</v>
      </c>
      <c r="E309" t="s">
        <v>41</v>
      </c>
      <c r="F309">
        <v>12000</v>
      </c>
      <c r="G309">
        <v>23</v>
      </c>
      <c r="H309" t="s">
        <v>13</v>
      </c>
      <c r="I309" t="s">
        <v>14</v>
      </c>
      <c r="J309">
        <v>4</v>
      </c>
      <c r="K309" s="1" t="str">
        <f t="shared" si="12"/>
        <v>30-44</v>
      </c>
      <c r="L309" s="1" t="str">
        <f t="shared" si="13"/>
        <v>High</v>
      </c>
      <c r="M309" s="1" t="str">
        <f t="shared" si="14"/>
        <v>Yes</v>
      </c>
    </row>
    <row r="310" spans="1:13" x14ac:dyDescent="0.35">
      <c r="A310">
        <v>314</v>
      </c>
      <c r="B310">
        <v>55</v>
      </c>
      <c r="C310" t="s">
        <v>15</v>
      </c>
      <c r="D310" t="s">
        <v>42</v>
      </c>
      <c r="E310" t="s">
        <v>43</v>
      </c>
      <c r="F310">
        <v>6000</v>
      </c>
      <c r="G310">
        <v>24</v>
      </c>
      <c r="H310" t="s">
        <v>13</v>
      </c>
      <c r="I310" t="s">
        <v>14</v>
      </c>
      <c r="J310">
        <v>3</v>
      </c>
      <c r="K310" s="1" t="str">
        <f t="shared" si="12"/>
        <v>45-59</v>
      </c>
      <c r="L310" s="1" t="str">
        <f t="shared" si="13"/>
        <v>Medium</v>
      </c>
      <c r="M310" s="1" t="str">
        <f t="shared" si="14"/>
        <v>No</v>
      </c>
    </row>
    <row r="311" spans="1:13" x14ac:dyDescent="0.35">
      <c r="A311">
        <v>315</v>
      </c>
      <c r="B311">
        <v>65</v>
      </c>
      <c r="C311" t="s">
        <v>10</v>
      </c>
      <c r="D311" t="s">
        <v>44</v>
      </c>
      <c r="E311" t="s">
        <v>45</v>
      </c>
      <c r="F311">
        <v>4000</v>
      </c>
      <c r="G311">
        <v>25</v>
      </c>
      <c r="H311" t="s">
        <v>13</v>
      </c>
      <c r="I311" t="s">
        <v>19</v>
      </c>
      <c r="J311">
        <v>4</v>
      </c>
      <c r="K311" s="1" t="str">
        <f t="shared" si="12"/>
        <v>60-74</v>
      </c>
      <c r="L311" s="1" t="str">
        <f t="shared" si="13"/>
        <v>Medium</v>
      </c>
      <c r="M311" s="1" t="str">
        <f t="shared" si="14"/>
        <v>Yes</v>
      </c>
    </row>
    <row r="312" spans="1:13" x14ac:dyDescent="0.35">
      <c r="A312">
        <v>316</v>
      </c>
      <c r="B312">
        <v>55</v>
      </c>
      <c r="C312" t="s">
        <v>10</v>
      </c>
      <c r="D312" t="s">
        <v>11</v>
      </c>
      <c r="E312" t="s">
        <v>12</v>
      </c>
      <c r="F312">
        <v>15000</v>
      </c>
      <c r="G312">
        <v>26</v>
      </c>
      <c r="H312" t="s">
        <v>18</v>
      </c>
      <c r="I312" t="s">
        <v>14</v>
      </c>
      <c r="J312">
        <v>3</v>
      </c>
      <c r="K312" s="1" t="str">
        <f t="shared" si="12"/>
        <v>45-59</v>
      </c>
      <c r="L312" s="1" t="str">
        <f t="shared" si="13"/>
        <v>High</v>
      </c>
      <c r="M312" s="1" t="str">
        <f t="shared" si="14"/>
        <v>No</v>
      </c>
    </row>
    <row r="313" spans="1:13" x14ac:dyDescent="0.35">
      <c r="A313">
        <v>317</v>
      </c>
      <c r="B313">
        <v>62</v>
      </c>
      <c r="C313" t="s">
        <v>15</v>
      </c>
      <c r="D313" t="s">
        <v>16</v>
      </c>
      <c r="E313" t="s">
        <v>17</v>
      </c>
      <c r="F313">
        <v>2000</v>
      </c>
      <c r="G313">
        <v>24</v>
      </c>
      <c r="H313" t="s">
        <v>13</v>
      </c>
      <c r="I313" t="s">
        <v>19</v>
      </c>
      <c r="J313">
        <v>4</v>
      </c>
      <c r="K313" s="1" t="str">
        <f t="shared" si="12"/>
        <v>60-74</v>
      </c>
      <c r="L313" s="1" t="str">
        <f t="shared" si="13"/>
        <v>Medium</v>
      </c>
      <c r="M313" s="1" t="str">
        <f t="shared" si="14"/>
        <v>Yes</v>
      </c>
    </row>
    <row r="314" spans="1:13" x14ac:dyDescent="0.35">
      <c r="A314">
        <v>318</v>
      </c>
      <c r="B314">
        <v>35</v>
      </c>
      <c r="C314" t="s">
        <v>10</v>
      </c>
      <c r="D314" t="s">
        <v>20</v>
      </c>
      <c r="E314" t="s">
        <v>21</v>
      </c>
      <c r="F314">
        <v>500</v>
      </c>
      <c r="G314">
        <v>22</v>
      </c>
      <c r="H314" t="s">
        <v>18</v>
      </c>
      <c r="I314" t="s">
        <v>14</v>
      </c>
      <c r="J314">
        <v>5</v>
      </c>
      <c r="K314" s="1" t="str">
        <f t="shared" si="12"/>
        <v>30-44</v>
      </c>
      <c r="L314" s="1" t="str">
        <f t="shared" si="13"/>
        <v>Low</v>
      </c>
      <c r="M314" s="1" t="str">
        <f t="shared" si="14"/>
        <v>Yes</v>
      </c>
    </row>
    <row r="315" spans="1:13" x14ac:dyDescent="0.35">
      <c r="A315">
        <v>319</v>
      </c>
      <c r="B315">
        <v>78</v>
      </c>
      <c r="C315" t="s">
        <v>15</v>
      </c>
      <c r="D315" t="s">
        <v>22</v>
      </c>
      <c r="E315" t="s">
        <v>23</v>
      </c>
      <c r="F315">
        <v>10000</v>
      </c>
      <c r="G315">
        <v>28</v>
      </c>
      <c r="H315" t="s">
        <v>13</v>
      </c>
      <c r="I315" t="s">
        <v>19</v>
      </c>
      <c r="J315">
        <v>2</v>
      </c>
      <c r="K315" s="1" t="str">
        <f t="shared" si="12"/>
        <v>75+</v>
      </c>
      <c r="L315" s="1" t="str">
        <f t="shared" si="13"/>
        <v>High</v>
      </c>
      <c r="M315" s="1" t="str">
        <f t="shared" si="14"/>
        <v>No</v>
      </c>
    </row>
    <row r="316" spans="1:13" x14ac:dyDescent="0.35">
      <c r="A316">
        <v>320</v>
      </c>
      <c r="B316">
        <v>53</v>
      </c>
      <c r="C316" t="s">
        <v>10</v>
      </c>
      <c r="D316" t="s">
        <v>24</v>
      </c>
      <c r="E316" t="s">
        <v>25</v>
      </c>
      <c r="F316">
        <v>25000</v>
      </c>
      <c r="G316">
        <v>31</v>
      </c>
      <c r="H316" t="s">
        <v>18</v>
      </c>
      <c r="I316" t="s">
        <v>14</v>
      </c>
      <c r="J316">
        <v>4</v>
      </c>
      <c r="K316" s="1" t="str">
        <f t="shared" si="12"/>
        <v>45-59</v>
      </c>
      <c r="L316" s="1" t="str">
        <f t="shared" si="13"/>
        <v>High</v>
      </c>
      <c r="M316" s="1" t="str">
        <f t="shared" si="14"/>
        <v>Yes</v>
      </c>
    </row>
    <row r="317" spans="1:13" x14ac:dyDescent="0.35">
      <c r="A317">
        <v>321</v>
      </c>
      <c r="B317">
        <v>72</v>
      </c>
      <c r="C317" t="s">
        <v>15</v>
      </c>
      <c r="D317" t="s">
        <v>26</v>
      </c>
      <c r="E317" t="s">
        <v>27</v>
      </c>
      <c r="F317">
        <v>1000</v>
      </c>
      <c r="G317">
        <v>23</v>
      </c>
      <c r="H317" t="s">
        <v>13</v>
      </c>
      <c r="I317" t="s">
        <v>19</v>
      </c>
      <c r="J317">
        <v>4</v>
      </c>
      <c r="K317" s="1" t="str">
        <f t="shared" si="12"/>
        <v>60-74</v>
      </c>
      <c r="L317" s="1" t="str">
        <f t="shared" si="13"/>
        <v>Low</v>
      </c>
      <c r="M317" s="1" t="str">
        <f t="shared" si="14"/>
        <v>Yes</v>
      </c>
    </row>
    <row r="318" spans="1:13" x14ac:dyDescent="0.35">
      <c r="A318">
        <v>322</v>
      </c>
      <c r="B318">
        <v>60</v>
      </c>
      <c r="C318" t="s">
        <v>10</v>
      </c>
      <c r="D318" t="s">
        <v>28</v>
      </c>
      <c r="E318" t="s">
        <v>29</v>
      </c>
      <c r="F318">
        <v>8000</v>
      </c>
      <c r="G318">
        <v>25</v>
      </c>
      <c r="H318" t="s">
        <v>18</v>
      </c>
      <c r="I318" t="s">
        <v>14</v>
      </c>
      <c r="J318">
        <v>3</v>
      </c>
      <c r="K318" s="1" t="str">
        <f t="shared" si="12"/>
        <v>60-74</v>
      </c>
      <c r="L318" s="1" t="str">
        <f t="shared" si="13"/>
        <v>Medium</v>
      </c>
      <c r="M318" s="1" t="str">
        <f t="shared" si="14"/>
        <v>No</v>
      </c>
    </row>
    <row r="319" spans="1:13" x14ac:dyDescent="0.35">
      <c r="A319">
        <v>323</v>
      </c>
      <c r="B319">
        <v>45</v>
      </c>
      <c r="C319" t="s">
        <v>15</v>
      </c>
      <c r="D319" t="s">
        <v>30</v>
      </c>
      <c r="E319" t="s">
        <v>31</v>
      </c>
      <c r="F319">
        <v>3000</v>
      </c>
      <c r="G319">
        <v>27</v>
      </c>
      <c r="H319" t="s">
        <v>13</v>
      </c>
      <c r="I319" t="s">
        <v>14</v>
      </c>
      <c r="J319">
        <v>4</v>
      </c>
      <c r="K319" s="1" t="str">
        <f t="shared" si="12"/>
        <v>45-59</v>
      </c>
      <c r="L319" s="1" t="str">
        <f t="shared" si="13"/>
        <v>Medium</v>
      </c>
      <c r="M319" s="1" t="str">
        <f t="shared" si="14"/>
        <v>Yes</v>
      </c>
    </row>
    <row r="320" spans="1:13" x14ac:dyDescent="0.35">
      <c r="A320">
        <v>324</v>
      </c>
      <c r="B320">
        <v>75</v>
      </c>
      <c r="C320" t="s">
        <v>10</v>
      </c>
      <c r="D320" t="s">
        <v>32</v>
      </c>
      <c r="E320" t="s">
        <v>33</v>
      </c>
      <c r="F320">
        <v>18000</v>
      </c>
      <c r="G320">
        <v>29</v>
      </c>
      <c r="H320" t="s">
        <v>18</v>
      </c>
      <c r="I320" t="s">
        <v>19</v>
      </c>
      <c r="J320">
        <v>2</v>
      </c>
      <c r="K320" s="1" t="str">
        <f t="shared" si="12"/>
        <v>75+</v>
      </c>
      <c r="L320" s="1" t="str">
        <f t="shared" si="13"/>
        <v>High</v>
      </c>
      <c r="M320" s="1" t="str">
        <f t="shared" si="14"/>
        <v>No</v>
      </c>
    </row>
    <row r="321" spans="1:13" x14ac:dyDescent="0.35">
      <c r="A321">
        <v>325</v>
      </c>
      <c r="B321">
        <v>28</v>
      </c>
      <c r="C321" t="s">
        <v>15</v>
      </c>
      <c r="D321" t="s">
        <v>34</v>
      </c>
      <c r="E321" t="s">
        <v>35</v>
      </c>
      <c r="F321">
        <v>100</v>
      </c>
      <c r="G321">
        <v>22</v>
      </c>
      <c r="H321" t="s">
        <v>13</v>
      </c>
      <c r="I321" t="s">
        <v>14</v>
      </c>
      <c r="J321">
        <v>5</v>
      </c>
      <c r="K321" s="1" t="str">
        <f t="shared" si="12"/>
        <v>18-29</v>
      </c>
      <c r="L321" s="1" t="str">
        <f t="shared" si="13"/>
        <v>Low</v>
      </c>
      <c r="M321" s="1" t="str">
        <f t="shared" si="14"/>
        <v>Yes</v>
      </c>
    </row>
    <row r="322" spans="1:13" x14ac:dyDescent="0.35">
      <c r="A322">
        <v>326</v>
      </c>
      <c r="B322">
        <v>52</v>
      </c>
      <c r="C322" t="s">
        <v>10</v>
      </c>
      <c r="D322" t="s">
        <v>36</v>
      </c>
      <c r="E322" t="s">
        <v>37</v>
      </c>
      <c r="F322">
        <v>800</v>
      </c>
      <c r="G322">
        <v>23</v>
      </c>
      <c r="H322" t="s">
        <v>13</v>
      </c>
      <c r="I322" t="s">
        <v>19</v>
      </c>
      <c r="J322">
        <v>4</v>
      </c>
      <c r="K322" s="1" t="str">
        <f t="shared" si="12"/>
        <v>45-59</v>
      </c>
      <c r="L322" s="1" t="str">
        <f t="shared" si="13"/>
        <v>Low</v>
      </c>
      <c r="M322" s="1" t="str">
        <f t="shared" si="14"/>
        <v>Yes</v>
      </c>
    </row>
    <row r="323" spans="1:13" x14ac:dyDescent="0.35">
      <c r="A323">
        <v>327</v>
      </c>
      <c r="B323">
        <v>67</v>
      </c>
      <c r="C323" t="s">
        <v>15</v>
      </c>
      <c r="D323" t="s">
        <v>38</v>
      </c>
      <c r="E323" t="s">
        <v>39</v>
      </c>
      <c r="F323">
        <v>20000</v>
      </c>
      <c r="G323">
        <v>30</v>
      </c>
      <c r="H323" t="s">
        <v>13</v>
      </c>
      <c r="I323" t="s">
        <v>14</v>
      </c>
      <c r="J323">
        <v>3</v>
      </c>
      <c r="K323" s="1" t="str">
        <f t="shared" ref="K323:K386" si="15">IF(B323&lt;30,"18-29",IF(B323&lt;45,"30-44",IF(B323&lt;60,"45-59",IF(B323&lt;75,"60-74","75+"))))</f>
        <v>60-74</v>
      </c>
      <c r="L323" s="1" t="str">
        <f t="shared" ref="L323:L386" si="16">IF(F323&lt;=1000,"Low",IF(F323&lt;=8000,"Medium","High"))</f>
        <v>High</v>
      </c>
      <c r="M323" s="1" t="str">
        <f t="shared" ref="M323:M386" si="17">IF(J323&gt;=4,"Yes","No")</f>
        <v>No</v>
      </c>
    </row>
    <row r="324" spans="1:13" x14ac:dyDescent="0.35">
      <c r="A324">
        <v>328</v>
      </c>
      <c r="B324">
        <v>35</v>
      </c>
      <c r="C324" t="s">
        <v>10</v>
      </c>
      <c r="D324" t="s">
        <v>40</v>
      </c>
      <c r="E324" t="s">
        <v>41</v>
      </c>
      <c r="F324">
        <v>12000</v>
      </c>
      <c r="G324">
        <v>24</v>
      </c>
      <c r="H324" t="s">
        <v>13</v>
      </c>
      <c r="I324" t="s">
        <v>14</v>
      </c>
      <c r="J324">
        <v>4</v>
      </c>
      <c r="K324" s="1" t="str">
        <f t="shared" si="15"/>
        <v>30-44</v>
      </c>
      <c r="L324" s="1" t="str">
        <f t="shared" si="16"/>
        <v>High</v>
      </c>
      <c r="M324" s="1" t="str">
        <f t="shared" si="17"/>
        <v>Yes</v>
      </c>
    </row>
    <row r="325" spans="1:13" x14ac:dyDescent="0.35">
      <c r="A325">
        <v>329</v>
      </c>
      <c r="B325">
        <v>50</v>
      </c>
      <c r="C325" t="s">
        <v>15</v>
      </c>
      <c r="D325" t="s">
        <v>42</v>
      </c>
      <c r="E325" t="s">
        <v>43</v>
      </c>
      <c r="F325">
        <v>6000</v>
      </c>
      <c r="G325">
        <v>25</v>
      </c>
      <c r="H325" t="s">
        <v>13</v>
      </c>
      <c r="I325" t="s">
        <v>14</v>
      </c>
      <c r="J325">
        <v>3</v>
      </c>
      <c r="K325" s="1" t="str">
        <f t="shared" si="15"/>
        <v>45-59</v>
      </c>
      <c r="L325" s="1" t="str">
        <f t="shared" si="16"/>
        <v>Medium</v>
      </c>
      <c r="M325" s="1" t="str">
        <f t="shared" si="17"/>
        <v>No</v>
      </c>
    </row>
    <row r="326" spans="1:13" x14ac:dyDescent="0.35">
      <c r="A326">
        <v>330</v>
      </c>
      <c r="B326">
        <v>60</v>
      </c>
      <c r="C326" t="s">
        <v>10</v>
      </c>
      <c r="D326" t="s">
        <v>44</v>
      </c>
      <c r="E326" t="s">
        <v>45</v>
      </c>
      <c r="F326">
        <v>4000</v>
      </c>
      <c r="G326">
        <v>26</v>
      </c>
      <c r="H326" t="s">
        <v>13</v>
      </c>
      <c r="I326" t="s">
        <v>19</v>
      </c>
      <c r="J326">
        <v>4</v>
      </c>
      <c r="K326" s="1" t="str">
        <f t="shared" si="15"/>
        <v>60-74</v>
      </c>
      <c r="L326" s="1" t="str">
        <f t="shared" si="16"/>
        <v>Medium</v>
      </c>
      <c r="M326" s="1" t="str">
        <f t="shared" si="17"/>
        <v>Yes</v>
      </c>
    </row>
    <row r="327" spans="1:13" x14ac:dyDescent="0.35">
      <c r="A327">
        <v>331</v>
      </c>
      <c r="B327">
        <v>48</v>
      </c>
      <c r="C327" t="s">
        <v>10</v>
      </c>
      <c r="D327" t="s">
        <v>11</v>
      </c>
      <c r="E327" t="s">
        <v>12</v>
      </c>
      <c r="F327">
        <v>15000</v>
      </c>
      <c r="G327">
        <v>27</v>
      </c>
      <c r="H327" t="s">
        <v>18</v>
      </c>
      <c r="I327" t="s">
        <v>14</v>
      </c>
      <c r="J327">
        <v>4</v>
      </c>
      <c r="K327" s="1" t="str">
        <f t="shared" si="15"/>
        <v>45-59</v>
      </c>
      <c r="L327" s="1" t="str">
        <f t="shared" si="16"/>
        <v>High</v>
      </c>
      <c r="M327" s="1" t="str">
        <f t="shared" si="17"/>
        <v>Yes</v>
      </c>
    </row>
    <row r="328" spans="1:13" x14ac:dyDescent="0.35">
      <c r="A328">
        <v>332</v>
      </c>
      <c r="B328">
        <v>65</v>
      </c>
      <c r="C328" t="s">
        <v>15</v>
      </c>
      <c r="D328" t="s">
        <v>16</v>
      </c>
      <c r="E328" t="s">
        <v>17</v>
      </c>
      <c r="F328">
        <v>2000</v>
      </c>
      <c r="G328">
        <v>25</v>
      </c>
      <c r="H328" t="s">
        <v>13</v>
      </c>
      <c r="I328" t="s">
        <v>19</v>
      </c>
      <c r="J328">
        <v>3</v>
      </c>
      <c r="K328" s="1" t="str">
        <f t="shared" si="15"/>
        <v>60-74</v>
      </c>
      <c r="L328" s="1" t="str">
        <f t="shared" si="16"/>
        <v>Medium</v>
      </c>
      <c r="M328" s="1" t="str">
        <f t="shared" si="17"/>
        <v>No</v>
      </c>
    </row>
    <row r="329" spans="1:13" x14ac:dyDescent="0.35">
      <c r="A329">
        <v>333</v>
      </c>
      <c r="B329">
        <v>30</v>
      </c>
      <c r="C329" t="s">
        <v>10</v>
      </c>
      <c r="D329" t="s">
        <v>20</v>
      </c>
      <c r="E329" t="s">
        <v>21</v>
      </c>
      <c r="F329">
        <v>500</v>
      </c>
      <c r="G329">
        <v>23</v>
      </c>
      <c r="H329" t="s">
        <v>13</v>
      </c>
      <c r="I329" t="s">
        <v>14</v>
      </c>
      <c r="J329">
        <v>5</v>
      </c>
      <c r="K329" s="1" t="str">
        <f t="shared" si="15"/>
        <v>30-44</v>
      </c>
      <c r="L329" s="1" t="str">
        <f t="shared" si="16"/>
        <v>Low</v>
      </c>
      <c r="M329" s="1" t="str">
        <f t="shared" si="17"/>
        <v>Yes</v>
      </c>
    </row>
    <row r="330" spans="1:13" x14ac:dyDescent="0.35">
      <c r="A330">
        <v>334</v>
      </c>
      <c r="B330">
        <v>70</v>
      </c>
      <c r="C330" t="s">
        <v>15</v>
      </c>
      <c r="D330" t="s">
        <v>22</v>
      </c>
      <c r="E330" t="s">
        <v>23</v>
      </c>
      <c r="F330">
        <v>10000</v>
      </c>
      <c r="G330">
        <v>29</v>
      </c>
      <c r="H330" t="s">
        <v>18</v>
      </c>
      <c r="I330" t="s">
        <v>19</v>
      </c>
      <c r="J330">
        <v>2</v>
      </c>
      <c r="K330" s="1" t="str">
        <f t="shared" si="15"/>
        <v>60-74</v>
      </c>
      <c r="L330" s="1" t="str">
        <f t="shared" si="16"/>
        <v>High</v>
      </c>
      <c r="M330" s="1" t="str">
        <f t="shared" si="17"/>
        <v>No</v>
      </c>
    </row>
    <row r="331" spans="1:13" x14ac:dyDescent="0.35">
      <c r="A331">
        <v>335</v>
      </c>
      <c r="B331">
        <v>55</v>
      </c>
      <c r="C331" t="s">
        <v>10</v>
      </c>
      <c r="D331" t="s">
        <v>24</v>
      </c>
      <c r="E331" t="s">
        <v>25</v>
      </c>
      <c r="F331">
        <v>25000</v>
      </c>
      <c r="G331">
        <v>32</v>
      </c>
      <c r="H331" t="s">
        <v>13</v>
      </c>
      <c r="I331" t="s">
        <v>14</v>
      </c>
      <c r="J331">
        <v>4</v>
      </c>
      <c r="K331" s="1" t="str">
        <f t="shared" si="15"/>
        <v>45-59</v>
      </c>
      <c r="L331" s="1" t="str">
        <f t="shared" si="16"/>
        <v>High</v>
      </c>
      <c r="M331" s="1" t="str">
        <f t="shared" si="17"/>
        <v>Yes</v>
      </c>
    </row>
    <row r="332" spans="1:13" x14ac:dyDescent="0.35">
      <c r="A332">
        <v>336</v>
      </c>
      <c r="B332">
        <v>68</v>
      </c>
      <c r="C332" t="s">
        <v>15</v>
      </c>
      <c r="D332" t="s">
        <v>26</v>
      </c>
      <c r="E332" t="s">
        <v>27</v>
      </c>
      <c r="F332">
        <v>1000</v>
      </c>
      <c r="G332">
        <v>24</v>
      </c>
      <c r="H332" t="s">
        <v>13</v>
      </c>
      <c r="I332" t="s">
        <v>19</v>
      </c>
      <c r="J332">
        <v>4</v>
      </c>
      <c r="K332" s="1" t="str">
        <f t="shared" si="15"/>
        <v>60-74</v>
      </c>
      <c r="L332" s="1" t="str">
        <f t="shared" si="16"/>
        <v>Low</v>
      </c>
      <c r="M332" s="1" t="str">
        <f t="shared" si="17"/>
        <v>Yes</v>
      </c>
    </row>
    <row r="333" spans="1:13" x14ac:dyDescent="0.35">
      <c r="A333">
        <v>337</v>
      </c>
      <c r="B333">
        <v>45</v>
      </c>
      <c r="C333" t="s">
        <v>10</v>
      </c>
      <c r="D333" t="s">
        <v>28</v>
      </c>
      <c r="E333" t="s">
        <v>29</v>
      </c>
      <c r="F333">
        <v>8000</v>
      </c>
      <c r="G333">
        <v>26</v>
      </c>
      <c r="H333" t="s">
        <v>13</v>
      </c>
      <c r="I333" t="s">
        <v>14</v>
      </c>
      <c r="J333">
        <v>3</v>
      </c>
      <c r="K333" s="1" t="str">
        <f t="shared" si="15"/>
        <v>45-59</v>
      </c>
      <c r="L333" s="1" t="str">
        <f t="shared" si="16"/>
        <v>Medium</v>
      </c>
      <c r="M333" s="1" t="str">
        <f t="shared" si="17"/>
        <v>No</v>
      </c>
    </row>
    <row r="334" spans="1:13" x14ac:dyDescent="0.35">
      <c r="A334">
        <v>338</v>
      </c>
      <c r="B334">
        <v>40</v>
      </c>
      <c r="C334" t="s">
        <v>15</v>
      </c>
      <c r="D334" t="s">
        <v>30</v>
      </c>
      <c r="E334" t="s">
        <v>31</v>
      </c>
      <c r="F334">
        <v>3000</v>
      </c>
      <c r="G334">
        <v>28</v>
      </c>
      <c r="H334" t="s">
        <v>13</v>
      </c>
      <c r="I334" t="s">
        <v>14</v>
      </c>
      <c r="J334">
        <v>4</v>
      </c>
      <c r="K334" s="1" t="str">
        <f t="shared" si="15"/>
        <v>30-44</v>
      </c>
      <c r="L334" s="1" t="str">
        <f t="shared" si="16"/>
        <v>Medium</v>
      </c>
      <c r="M334" s="1" t="str">
        <f t="shared" si="17"/>
        <v>Yes</v>
      </c>
    </row>
    <row r="335" spans="1:13" x14ac:dyDescent="0.35">
      <c r="A335">
        <v>339</v>
      </c>
      <c r="B335">
        <v>78</v>
      </c>
      <c r="C335" t="s">
        <v>10</v>
      </c>
      <c r="D335" t="s">
        <v>32</v>
      </c>
      <c r="E335" t="s">
        <v>33</v>
      </c>
      <c r="F335">
        <v>18000</v>
      </c>
      <c r="G335">
        <v>30</v>
      </c>
      <c r="H335" t="s">
        <v>18</v>
      </c>
      <c r="I335" t="s">
        <v>19</v>
      </c>
      <c r="J335">
        <v>2</v>
      </c>
      <c r="K335" s="1" t="str">
        <f t="shared" si="15"/>
        <v>75+</v>
      </c>
      <c r="L335" s="1" t="str">
        <f t="shared" si="16"/>
        <v>High</v>
      </c>
      <c r="M335" s="1" t="str">
        <f t="shared" si="17"/>
        <v>No</v>
      </c>
    </row>
    <row r="336" spans="1:13" x14ac:dyDescent="0.35">
      <c r="A336">
        <v>340</v>
      </c>
      <c r="B336">
        <v>25</v>
      </c>
      <c r="C336" t="s">
        <v>15</v>
      </c>
      <c r="D336" t="s">
        <v>34</v>
      </c>
      <c r="E336" t="s">
        <v>35</v>
      </c>
      <c r="F336">
        <v>100</v>
      </c>
      <c r="G336">
        <v>23</v>
      </c>
      <c r="H336" t="s">
        <v>13</v>
      </c>
      <c r="I336" t="s">
        <v>14</v>
      </c>
      <c r="J336">
        <v>5</v>
      </c>
      <c r="K336" s="1" t="str">
        <f t="shared" si="15"/>
        <v>18-29</v>
      </c>
      <c r="L336" s="1" t="str">
        <f t="shared" si="16"/>
        <v>Low</v>
      </c>
      <c r="M336" s="1" t="str">
        <f t="shared" si="17"/>
        <v>Yes</v>
      </c>
    </row>
    <row r="337" spans="1:13" x14ac:dyDescent="0.35">
      <c r="A337">
        <v>341</v>
      </c>
      <c r="B337">
        <v>52</v>
      </c>
      <c r="C337" t="s">
        <v>10</v>
      </c>
      <c r="D337" t="s">
        <v>36</v>
      </c>
      <c r="E337" t="s">
        <v>37</v>
      </c>
      <c r="F337">
        <v>800</v>
      </c>
      <c r="G337">
        <v>24</v>
      </c>
      <c r="H337" t="s">
        <v>13</v>
      </c>
      <c r="I337" t="s">
        <v>19</v>
      </c>
      <c r="J337">
        <v>4</v>
      </c>
      <c r="K337" s="1" t="str">
        <f t="shared" si="15"/>
        <v>45-59</v>
      </c>
      <c r="L337" s="1" t="str">
        <f t="shared" si="16"/>
        <v>Low</v>
      </c>
      <c r="M337" s="1" t="str">
        <f t="shared" si="17"/>
        <v>Yes</v>
      </c>
    </row>
    <row r="338" spans="1:13" x14ac:dyDescent="0.35">
      <c r="A338">
        <v>342</v>
      </c>
      <c r="B338">
        <v>58</v>
      </c>
      <c r="C338" t="s">
        <v>15</v>
      </c>
      <c r="D338" t="s">
        <v>38</v>
      </c>
      <c r="E338" t="s">
        <v>39</v>
      </c>
      <c r="F338">
        <v>20000</v>
      </c>
      <c r="G338">
        <v>31</v>
      </c>
      <c r="H338" t="s">
        <v>13</v>
      </c>
      <c r="I338" t="s">
        <v>14</v>
      </c>
      <c r="J338">
        <v>3</v>
      </c>
      <c r="K338" s="1" t="str">
        <f t="shared" si="15"/>
        <v>45-59</v>
      </c>
      <c r="L338" s="1" t="str">
        <f t="shared" si="16"/>
        <v>High</v>
      </c>
      <c r="M338" s="1" t="str">
        <f t="shared" si="17"/>
        <v>No</v>
      </c>
    </row>
    <row r="339" spans="1:13" x14ac:dyDescent="0.35">
      <c r="A339">
        <v>343</v>
      </c>
      <c r="B339">
        <v>32</v>
      </c>
      <c r="C339" t="s">
        <v>10</v>
      </c>
      <c r="D339" t="s">
        <v>40</v>
      </c>
      <c r="E339" t="s">
        <v>41</v>
      </c>
      <c r="F339">
        <v>12000</v>
      </c>
      <c r="G339">
        <v>25</v>
      </c>
      <c r="H339" t="s">
        <v>13</v>
      </c>
      <c r="I339" t="s">
        <v>14</v>
      </c>
      <c r="J339">
        <v>4</v>
      </c>
      <c r="K339" s="1" t="str">
        <f t="shared" si="15"/>
        <v>30-44</v>
      </c>
      <c r="L339" s="1" t="str">
        <f t="shared" si="16"/>
        <v>High</v>
      </c>
      <c r="M339" s="1" t="str">
        <f t="shared" si="17"/>
        <v>Yes</v>
      </c>
    </row>
    <row r="340" spans="1:13" x14ac:dyDescent="0.35">
      <c r="A340">
        <v>344</v>
      </c>
      <c r="B340">
        <v>55</v>
      </c>
      <c r="C340" t="s">
        <v>15</v>
      </c>
      <c r="D340" t="s">
        <v>42</v>
      </c>
      <c r="E340" t="s">
        <v>43</v>
      </c>
      <c r="F340">
        <v>6000</v>
      </c>
      <c r="G340">
        <v>26</v>
      </c>
      <c r="H340" t="s">
        <v>13</v>
      </c>
      <c r="I340" t="s">
        <v>14</v>
      </c>
      <c r="J340">
        <v>3</v>
      </c>
      <c r="K340" s="1" t="str">
        <f t="shared" si="15"/>
        <v>45-59</v>
      </c>
      <c r="L340" s="1" t="str">
        <f t="shared" si="16"/>
        <v>Medium</v>
      </c>
      <c r="M340" s="1" t="str">
        <f t="shared" si="17"/>
        <v>No</v>
      </c>
    </row>
    <row r="341" spans="1:13" x14ac:dyDescent="0.35">
      <c r="A341">
        <v>345</v>
      </c>
      <c r="B341">
        <v>65</v>
      </c>
      <c r="C341" t="s">
        <v>10</v>
      </c>
      <c r="D341" t="s">
        <v>44</v>
      </c>
      <c r="E341" t="s">
        <v>45</v>
      </c>
      <c r="F341">
        <v>4000</v>
      </c>
      <c r="G341">
        <v>27</v>
      </c>
      <c r="H341" t="s">
        <v>13</v>
      </c>
      <c r="I341" t="s">
        <v>19</v>
      </c>
      <c r="J341">
        <v>4</v>
      </c>
      <c r="K341" s="1" t="str">
        <f t="shared" si="15"/>
        <v>60-74</v>
      </c>
      <c r="L341" s="1" t="str">
        <f t="shared" si="16"/>
        <v>Medium</v>
      </c>
      <c r="M341" s="1" t="str">
        <f t="shared" si="17"/>
        <v>Yes</v>
      </c>
    </row>
    <row r="342" spans="1:13" x14ac:dyDescent="0.35">
      <c r="A342">
        <v>346</v>
      </c>
      <c r="B342">
        <v>55</v>
      </c>
      <c r="C342" t="s">
        <v>10</v>
      </c>
      <c r="D342" t="s">
        <v>11</v>
      </c>
      <c r="E342" t="s">
        <v>12</v>
      </c>
      <c r="F342">
        <v>15000</v>
      </c>
      <c r="G342">
        <v>28</v>
      </c>
      <c r="H342" t="s">
        <v>18</v>
      </c>
      <c r="I342" t="s">
        <v>14</v>
      </c>
      <c r="J342">
        <v>3</v>
      </c>
      <c r="K342" s="1" t="str">
        <f t="shared" si="15"/>
        <v>45-59</v>
      </c>
      <c r="L342" s="1" t="str">
        <f t="shared" si="16"/>
        <v>High</v>
      </c>
      <c r="M342" s="1" t="str">
        <f t="shared" si="17"/>
        <v>No</v>
      </c>
    </row>
    <row r="343" spans="1:13" x14ac:dyDescent="0.35">
      <c r="A343">
        <v>347</v>
      </c>
      <c r="B343">
        <v>62</v>
      </c>
      <c r="C343" t="s">
        <v>15</v>
      </c>
      <c r="D343" t="s">
        <v>16</v>
      </c>
      <c r="E343" t="s">
        <v>17</v>
      </c>
      <c r="F343">
        <v>2000</v>
      </c>
      <c r="G343">
        <v>26</v>
      </c>
      <c r="H343" t="s">
        <v>13</v>
      </c>
      <c r="I343" t="s">
        <v>19</v>
      </c>
      <c r="J343">
        <v>4</v>
      </c>
      <c r="K343" s="1" t="str">
        <f t="shared" si="15"/>
        <v>60-74</v>
      </c>
      <c r="L343" s="1" t="str">
        <f t="shared" si="16"/>
        <v>Medium</v>
      </c>
      <c r="M343" s="1" t="str">
        <f t="shared" si="17"/>
        <v>Yes</v>
      </c>
    </row>
    <row r="344" spans="1:13" x14ac:dyDescent="0.35">
      <c r="A344">
        <v>348</v>
      </c>
      <c r="B344">
        <v>35</v>
      </c>
      <c r="C344" t="s">
        <v>10</v>
      </c>
      <c r="D344" t="s">
        <v>20</v>
      </c>
      <c r="E344" t="s">
        <v>21</v>
      </c>
      <c r="F344">
        <v>500</v>
      </c>
      <c r="G344">
        <v>24</v>
      </c>
      <c r="H344" t="s">
        <v>18</v>
      </c>
      <c r="I344" t="s">
        <v>14</v>
      </c>
      <c r="J344">
        <v>5</v>
      </c>
      <c r="K344" s="1" t="str">
        <f t="shared" si="15"/>
        <v>30-44</v>
      </c>
      <c r="L344" s="1" t="str">
        <f t="shared" si="16"/>
        <v>Low</v>
      </c>
      <c r="M344" s="1" t="str">
        <f t="shared" si="17"/>
        <v>Yes</v>
      </c>
    </row>
    <row r="345" spans="1:13" x14ac:dyDescent="0.35">
      <c r="A345">
        <v>349</v>
      </c>
      <c r="B345">
        <v>78</v>
      </c>
      <c r="C345" t="s">
        <v>15</v>
      </c>
      <c r="D345" t="s">
        <v>22</v>
      </c>
      <c r="E345" t="s">
        <v>23</v>
      </c>
      <c r="F345">
        <v>10000</v>
      </c>
      <c r="G345">
        <v>30</v>
      </c>
      <c r="H345" t="s">
        <v>13</v>
      </c>
      <c r="I345" t="s">
        <v>19</v>
      </c>
      <c r="J345">
        <v>2</v>
      </c>
      <c r="K345" s="1" t="str">
        <f t="shared" si="15"/>
        <v>75+</v>
      </c>
      <c r="L345" s="1" t="str">
        <f t="shared" si="16"/>
        <v>High</v>
      </c>
      <c r="M345" s="1" t="str">
        <f t="shared" si="17"/>
        <v>No</v>
      </c>
    </row>
    <row r="346" spans="1:13" x14ac:dyDescent="0.35">
      <c r="A346">
        <v>350</v>
      </c>
      <c r="B346">
        <v>53</v>
      </c>
      <c r="C346" t="s">
        <v>10</v>
      </c>
      <c r="D346" t="s">
        <v>24</v>
      </c>
      <c r="E346" t="s">
        <v>25</v>
      </c>
      <c r="F346">
        <v>25000</v>
      </c>
      <c r="G346">
        <v>33</v>
      </c>
      <c r="H346" t="s">
        <v>18</v>
      </c>
      <c r="I346" t="s">
        <v>14</v>
      </c>
      <c r="J346">
        <v>4</v>
      </c>
      <c r="K346" s="1" t="str">
        <f t="shared" si="15"/>
        <v>45-59</v>
      </c>
      <c r="L346" s="1" t="str">
        <f t="shared" si="16"/>
        <v>High</v>
      </c>
      <c r="M346" s="1" t="str">
        <f t="shared" si="17"/>
        <v>Yes</v>
      </c>
    </row>
    <row r="347" spans="1:13" x14ac:dyDescent="0.35">
      <c r="A347">
        <v>351</v>
      </c>
      <c r="B347">
        <v>72</v>
      </c>
      <c r="C347" t="s">
        <v>15</v>
      </c>
      <c r="D347" t="s">
        <v>26</v>
      </c>
      <c r="E347" t="s">
        <v>27</v>
      </c>
      <c r="F347">
        <v>1000</v>
      </c>
      <c r="G347">
        <v>25</v>
      </c>
      <c r="H347" t="s">
        <v>13</v>
      </c>
      <c r="I347" t="s">
        <v>19</v>
      </c>
      <c r="J347">
        <v>4</v>
      </c>
      <c r="K347" s="1" t="str">
        <f t="shared" si="15"/>
        <v>60-74</v>
      </c>
      <c r="L347" s="1" t="str">
        <f t="shared" si="16"/>
        <v>Low</v>
      </c>
      <c r="M347" s="1" t="str">
        <f t="shared" si="17"/>
        <v>Yes</v>
      </c>
    </row>
    <row r="348" spans="1:13" x14ac:dyDescent="0.35">
      <c r="A348">
        <v>352</v>
      </c>
      <c r="B348">
        <v>60</v>
      </c>
      <c r="C348" t="s">
        <v>10</v>
      </c>
      <c r="D348" t="s">
        <v>28</v>
      </c>
      <c r="E348" t="s">
        <v>29</v>
      </c>
      <c r="F348">
        <v>8000</v>
      </c>
      <c r="G348">
        <v>27</v>
      </c>
      <c r="H348" t="s">
        <v>18</v>
      </c>
      <c r="I348" t="s">
        <v>14</v>
      </c>
      <c r="J348">
        <v>3</v>
      </c>
      <c r="K348" s="1" t="str">
        <f t="shared" si="15"/>
        <v>60-74</v>
      </c>
      <c r="L348" s="1" t="str">
        <f t="shared" si="16"/>
        <v>Medium</v>
      </c>
      <c r="M348" s="1" t="str">
        <f t="shared" si="17"/>
        <v>No</v>
      </c>
    </row>
    <row r="349" spans="1:13" x14ac:dyDescent="0.35">
      <c r="A349">
        <v>353</v>
      </c>
      <c r="B349">
        <v>45</v>
      </c>
      <c r="C349" t="s">
        <v>15</v>
      </c>
      <c r="D349" t="s">
        <v>30</v>
      </c>
      <c r="E349" t="s">
        <v>31</v>
      </c>
      <c r="F349">
        <v>3000</v>
      </c>
      <c r="G349">
        <v>29</v>
      </c>
      <c r="H349" t="s">
        <v>13</v>
      </c>
      <c r="I349" t="s">
        <v>14</v>
      </c>
      <c r="J349">
        <v>4</v>
      </c>
      <c r="K349" s="1" t="str">
        <f t="shared" si="15"/>
        <v>45-59</v>
      </c>
      <c r="L349" s="1" t="str">
        <f t="shared" si="16"/>
        <v>Medium</v>
      </c>
      <c r="M349" s="1" t="str">
        <f t="shared" si="17"/>
        <v>Yes</v>
      </c>
    </row>
    <row r="350" spans="1:13" x14ac:dyDescent="0.35">
      <c r="A350">
        <v>354</v>
      </c>
      <c r="B350">
        <v>75</v>
      </c>
      <c r="C350" t="s">
        <v>10</v>
      </c>
      <c r="D350" t="s">
        <v>32</v>
      </c>
      <c r="E350" t="s">
        <v>33</v>
      </c>
      <c r="F350">
        <v>18000</v>
      </c>
      <c r="G350">
        <v>31</v>
      </c>
      <c r="H350" t="s">
        <v>18</v>
      </c>
      <c r="I350" t="s">
        <v>19</v>
      </c>
      <c r="J350">
        <v>2</v>
      </c>
      <c r="K350" s="1" t="str">
        <f t="shared" si="15"/>
        <v>75+</v>
      </c>
      <c r="L350" s="1" t="str">
        <f t="shared" si="16"/>
        <v>High</v>
      </c>
      <c r="M350" s="1" t="str">
        <f t="shared" si="17"/>
        <v>No</v>
      </c>
    </row>
    <row r="351" spans="1:13" x14ac:dyDescent="0.35">
      <c r="A351">
        <v>355</v>
      </c>
      <c r="B351">
        <v>28</v>
      </c>
      <c r="C351" t="s">
        <v>15</v>
      </c>
      <c r="D351" t="s">
        <v>34</v>
      </c>
      <c r="E351" t="s">
        <v>35</v>
      </c>
      <c r="F351">
        <v>100</v>
      </c>
      <c r="G351">
        <v>24</v>
      </c>
      <c r="H351" t="s">
        <v>13</v>
      </c>
      <c r="I351" t="s">
        <v>14</v>
      </c>
      <c r="J351">
        <v>5</v>
      </c>
      <c r="K351" s="1" t="str">
        <f t="shared" si="15"/>
        <v>18-29</v>
      </c>
      <c r="L351" s="1" t="str">
        <f t="shared" si="16"/>
        <v>Low</v>
      </c>
      <c r="M351" s="1" t="str">
        <f t="shared" si="17"/>
        <v>Yes</v>
      </c>
    </row>
    <row r="352" spans="1:13" x14ac:dyDescent="0.35">
      <c r="A352">
        <v>357</v>
      </c>
      <c r="B352">
        <v>67</v>
      </c>
      <c r="C352" t="s">
        <v>15</v>
      </c>
      <c r="D352" t="s">
        <v>38</v>
      </c>
      <c r="E352" t="s">
        <v>39</v>
      </c>
      <c r="F352">
        <v>20000</v>
      </c>
      <c r="G352">
        <v>32</v>
      </c>
      <c r="H352" t="s">
        <v>13</v>
      </c>
      <c r="I352" t="s">
        <v>14</v>
      </c>
      <c r="J352">
        <v>3</v>
      </c>
      <c r="K352" s="1" t="str">
        <f t="shared" si="15"/>
        <v>60-74</v>
      </c>
      <c r="L352" s="1" t="str">
        <f t="shared" si="16"/>
        <v>High</v>
      </c>
      <c r="M352" s="1" t="str">
        <f t="shared" si="17"/>
        <v>No</v>
      </c>
    </row>
    <row r="353" spans="1:13" x14ac:dyDescent="0.35">
      <c r="A353">
        <v>358</v>
      </c>
      <c r="B353">
        <v>35</v>
      </c>
      <c r="C353" t="s">
        <v>10</v>
      </c>
      <c r="D353" t="s">
        <v>40</v>
      </c>
      <c r="E353" t="s">
        <v>41</v>
      </c>
      <c r="F353">
        <v>12000</v>
      </c>
      <c r="G353">
        <v>26</v>
      </c>
      <c r="H353" t="s">
        <v>13</v>
      </c>
      <c r="I353" t="s">
        <v>14</v>
      </c>
      <c r="J353">
        <v>4</v>
      </c>
      <c r="K353" s="1" t="str">
        <f t="shared" si="15"/>
        <v>30-44</v>
      </c>
      <c r="L353" s="1" t="str">
        <f t="shared" si="16"/>
        <v>High</v>
      </c>
      <c r="M353" s="1" t="str">
        <f t="shared" si="17"/>
        <v>Yes</v>
      </c>
    </row>
    <row r="354" spans="1:13" x14ac:dyDescent="0.35">
      <c r="A354">
        <v>359</v>
      </c>
      <c r="B354">
        <v>50</v>
      </c>
      <c r="C354" t="s">
        <v>15</v>
      </c>
      <c r="D354" t="s">
        <v>42</v>
      </c>
      <c r="E354" t="s">
        <v>43</v>
      </c>
      <c r="F354">
        <v>6000</v>
      </c>
      <c r="G354">
        <v>27</v>
      </c>
      <c r="H354" t="s">
        <v>13</v>
      </c>
      <c r="I354" t="s">
        <v>14</v>
      </c>
      <c r="J354">
        <v>3</v>
      </c>
      <c r="K354" s="1" t="str">
        <f t="shared" si="15"/>
        <v>45-59</v>
      </c>
      <c r="L354" s="1" t="str">
        <f t="shared" si="16"/>
        <v>Medium</v>
      </c>
      <c r="M354" s="1" t="str">
        <f t="shared" si="17"/>
        <v>No</v>
      </c>
    </row>
    <row r="355" spans="1:13" x14ac:dyDescent="0.35">
      <c r="A355">
        <v>360</v>
      </c>
      <c r="B355">
        <v>60</v>
      </c>
      <c r="C355" t="s">
        <v>10</v>
      </c>
      <c r="D355" t="s">
        <v>44</v>
      </c>
      <c r="E355" t="s">
        <v>45</v>
      </c>
      <c r="F355">
        <v>4000</v>
      </c>
      <c r="G355">
        <v>28</v>
      </c>
      <c r="H355" t="s">
        <v>13</v>
      </c>
      <c r="I355" t="s">
        <v>19</v>
      </c>
      <c r="J355">
        <v>4</v>
      </c>
      <c r="K355" s="1" t="str">
        <f t="shared" si="15"/>
        <v>60-74</v>
      </c>
      <c r="L355" s="1" t="str">
        <f t="shared" si="16"/>
        <v>Medium</v>
      </c>
      <c r="M355" s="1" t="str">
        <f t="shared" si="17"/>
        <v>Yes</v>
      </c>
    </row>
    <row r="356" spans="1:13" x14ac:dyDescent="0.35">
      <c r="A356">
        <v>361</v>
      </c>
      <c r="B356">
        <v>48</v>
      </c>
      <c r="C356" t="s">
        <v>10</v>
      </c>
      <c r="D356" t="s">
        <v>11</v>
      </c>
      <c r="E356" t="s">
        <v>12</v>
      </c>
      <c r="F356">
        <v>15000</v>
      </c>
      <c r="G356">
        <v>29</v>
      </c>
      <c r="H356" t="s">
        <v>18</v>
      </c>
      <c r="I356" t="s">
        <v>14</v>
      </c>
      <c r="J356">
        <v>4</v>
      </c>
      <c r="K356" s="1" t="str">
        <f t="shared" si="15"/>
        <v>45-59</v>
      </c>
      <c r="L356" s="1" t="str">
        <f t="shared" si="16"/>
        <v>High</v>
      </c>
      <c r="M356" s="1" t="str">
        <f t="shared" si="17"/>
        <v>Yes</v>
      </c>
    </row>
    <row r="357" spans="1:13" x14ac:dyDescent="0.35">
      <c r="A357">
        <v>362</v>
      </c>
      <c r="B357">
        <v>65</v>
      </c>
      <c r="C357" t="s">
        <v>15</v>
      </c>
      <c r="D357" t="s">
        <v>16</v>
      </c>
      <c r="E357" t="s">
        <v>17</v>
      </c>
      <c r="F357">
        <v>2000</v>
      </c>
      <c r="G357">
        <v>27</v>
      </c>
      <c r="H357" t="s">
        <v>13</v>
      </c>
      <c r="I357" t="s">
        <v>19</v>
      </c>
      <c r="J357">
        <v>3</v>
      </c>
      <c r="K357" s="1" t="str">
        <f t="shared" si="15"/>
        <v>60-74</v>
      </c>
      <c r="L357" s="1" t="str">
        <f t="shared" si="16"/>
        <v>Medium</v>
      </c>
      <c r="M357" s="1" t="str">
        <f t="shared" si="17"/>
        <v>No</v>
      </c>
    </row>
    <row r="358" spans="1:13" x14ac:dyDescent="0.35">
      <c r="A358">
        <v>363</v>
      </c>
      <c r="B358">
        <v>30</v>
      </c>
      <c r="C358" t="s">
        <v>10</v>
      </c>
      <c r="D358" t="s">
        <v>20</v>
      </c>
      <c r="E358" t="s">
        <v>21</v>
      </c>
      <c r="F358">
        <v>500</v>
      </c>
      <c r="G358">
        <v>25</v>
      </c>
      <c r="H358" t="s">
        <v>13</v>
      </c>
      <c r="I358" t="s">
        <v>14</v>
      </c>
      <c r="J358">
        <v>5</v>
      </c>
      <c r="K358" s="1" t="str">
        <f t="shared" si="15"/>
        <v>30-44</v>
      </c>
      <c r="L358" s="1" t="str">
        <f t="shared" si="16"/>
        <v>Low</v>
      </c>
      <c r="M358" s="1" t="str">
        <f t="shared" si="17"/>
        <v>Yes</v>
      </c>
    </row>
    <row r="359" spans="1:13" x14ac:dyDescent="0.35">
      <c r="A359">
        <v>364</v>
      </c>
      <c r="B359">
        <v>70</v>
      </c>
      <c r="C359" t="s">
        <v>15</v>
      </c>
      <c r="D359" t="s">
        <v>22</v>
      </c>
      <c r="E359" t="s">
        <v>23</v>
      </c>
      <c r="F359">
        <v>10000</v>
      </c>
      <c r="G359">
        <v>31</v>
      </c>
      <c r="H359" t="s">
        <v>18</v>
      </c>
      <c r="I359" t="s">
        <v>19</v>
      </c>
      <c r="J359">
        <v>2</v>
      </c>
      <c r="K359" s="1" t="str">
        <f t="shared" si="15"/>
        <v>60-74</v>
      </c>
      <c r="L359" s="1" t="str">
        <f t="shared" si="16"/>
        <v>High</v>
      </c>
      <c r="M359" s="1" t="str">
        <f t="shared" si="17"/>
        <v>No</v>
      </c>
    </row>
    <row r="360" spans="1:13" x14ac:dyDescent="0.35">
      <c r="A360">
        <v>365</v>
      </c>
      <c r="B360">
        <v>55</v>
      </c>
      <c r="C360" t="s">
        <v>10</v>
      </c>
      <c r="D360" t="s">
        <v>24</v>
      </c>
      <c r="E360" t="s">
        <v>25</v>
      </c>
      <c r="F360">
        <v>25000</v>
      </c>
      <c r="G360">
        <v>34</v>
      </c>
      <c r="H360" t="s">
        <v>13</v>
      </c>
      <c r="I360" t="s">
        <v>14</v>
      </c>
      <c r="J360">
        <v>4</v>
      </c>
      <c r="K360" s="1" t="str">
        <f t="shared" si="15"/>
        <v>45-59</v>
      </c>
      <c r="L360" s="1" t="str">
        <f t="shared" si="16"/>
        <v>High</v>
      </c>
      <c r="M360" s="1" t="str">
        <f t="shared" si="17"/>
        <v>Yes</v>
      </c>
    </row>
    <row r="361" spans="1:13" x14ac:dyDescent="0.35">
      <c r="A361">
        <v>366</v>
      </c>
      <c r="B361">
        <v>68</v>
      </c>
      <c r="C361" t="s">
        <v>15</v>
      </c>
      <c r="D361" t="s">
        <v>26</v>
      </c>
      <c r="E361" t="s">
        <v>27</v>
      </c>
      <c r="F361">
        <v>1000</v>
      </c>
      <c r="G361">
        <v>26</v>
      </c>
      <c r="H361" t="s">
        <v>13</v>
      </c>
      <c r="I361" t="s">
        <v>19</v>
      </c>
      <c r="J361">
        <v>4</v>
      </c>
      <c r="K361" s="1" t="str">
        <f t="shared" si="15"/>
        <v>60-74</v>
      </c>
      <c r="L361" s="1" t="str">
        <f t="shared" si="16"/>
        <v>Low</v>
      </c>
      <c r="M361" s="1" t="str">
        <f t="shared" si="17"/>
        <v>Yes</v>
      </c>
    </row>
    <row r="362" spans="1:13" x14ac:dyDescent="0.35">
      <c r="A362">
        <v>367</v>
      </c>
      <c r="B362">
        <v>45</v>
      </c>
      <c r="C362" t="s">
        <v>10</v>
      </c>
      <c r="D362" t="s">
        <v>28</v>
      </c>
      <c r="E362" t="s">
        <v>29</v>
      </c>
      <c r="F362">
        <v>8000</v>
      </c>
      <c r="G362">
        <v>28</v>
      </c>
      <c r="H362" t="s">
        <v>13</v>
      </c>
      <c r="I362" t="s">
        <v>14</v>
      </c>
      <c r="J362">
        <v>3</v>
      </c>
      <c r="K362" s="1" t="str">
        <f t="shared" si="15"/>
        <v>45-59</v>
      </c>
      <c r="L362" s="1" t="str">
        <f t="shared" si="16"/>
        <v>Medium</v>
      </c>
      <c r="M362" s="1" t="str">
        <f t="shared" si="17"/>
        <v>No</v>
      </c>
    </row>
    <row r="363" spans="1:13" x14ac:dyDescent="0.35">
      <c r="A363">
        <v>368</v>
      </c>
      <c r="B363">
        <v>40</v>
      </c>
      <c r="C363" t="s">
        <v>15</v>
      </c>
      <c r="D363" t="s">
        <v>30</v>
      </c>
      <c r="E363" t="s">
        <v>31</v>
      </c>
      <c r="F363">
        <v>3000</v>
      </c>
      <c r="G363">
        <v>30</v>
      </c>
      <c r="H363" t="s">
        <v>13</v>
      </c>
      <c r="I363" t="s">
        <v>14</v>
      </c>
      <c r="J363">
        <v>4</v>
      </c>
      <c r="K363" s="1" t="str">
        <f t="shared" si="15"/>
        <v>30-44</v>
      </c>
      <c r="L363" s="1" t="str">
        <f t="shared" si="16"/>
        <v>Medium</v>
      </c>
      <c r="M363" s="1" t="str">
        <f t="shared" si="17"/>
        <v>Yes</v>
      </c>
    </row>
    <row r="364" spans="1:13" x14ac:dyDescent="0.35">
      <c r="A364">
        <v>369</v>
      </c>
      <c r="B364">
        <v>78</v>
      </c>
      <c r="C364" t="s">
        <v>10</v>
      </c>
      <c r="D364" t="s">
        <v>32</v>
      </c>
      <c r="E364" t="s">
        <v>33</v>
      </c>
      <c r="F364">
        <v>18000</v>
      </c>
      <c r="G364">
        <v>32</v>
      </c>
      <c r="H364" t="s">
        <v>18</v>
      </c>
      <c r="I364" t="s">
        <v>19</v>
      </c>
      <c r="J364">
        <v>2</v>
      </c>
      <c r="K364" s="1" t="str">
        <f t="shared" si="15"/>
        <v>75+</v>
      </c>
      <c r="L364" s="1" t="str">
        <f t="shared" si="16"/>
        <v>High</v>
      </c>
      <c r="M364" s="1" t="str">
        <f t="shared" si="17"/>
        <v>No</v>
      </c>
    </row>
    <row r="365" spans="1:13" x14ac:dyDescent="0.35">
      <c r="A365">
        <v>370</v>
      </c>
      <c r="B365">
        <v>25</v>
      </c>
      <c r="C365" t="s">
        <v>15</v>
      </c>
      <c r="D365" t="s">
        <v>34</v>
      </c>
      <c r="E365" t="s">
        <v>35</v>
      </c>
      <c r="F365">
        <v>100</v>
      </c>
      <c r="G365">
        <v>25</v>
      </c>
      <c r="H365" t="s">
        <v>13</v>
      </c>
      <c r="I365" t="s">
        <v>14</v>
      </c>
      <c r="J365">
        <v>5</v>
      </c>
      <c r="K365" s="1" t="str">
        <f t="shared" si="15"/>
        <v>18-29</v>
      </c>
      <c r="L365" s="1" t="str">
        <f t="shared" si="16"/>
        <v>Low</v>
      </c>
      <c r="M365" s="1" t="str">
        <f t="shared" si="17"/>
        <v>Yes</v>
      </c>
    </row>
    <row r="366" spans="1:13" x14ac:dyDescent="0.35">
      <c r="A366">
        <v>371</v>
      </c>
      <c r="B366">
        <v>52</v>
      </c>
      <c r="C366" t="s">
        <v>10</v>
      </c>
      <c r="D366" t="s">
        <v>36</v>
      </c>
      <c r="E366" t="s">
        <v>37</v>
      </c>
      <c r="F366">
        <v>800</v>
      </c>
      <c r="G366">
        <v>26</v>
      </c>
      <c r="H366" t="s">
        <v>13</v>
      </c>
      <c r="I366" t="s">
        <v>19</v>
      </c>
      <c r="J366">
        <v>4</v>
      </c>
      <c r="K366" s="1" t="str">
        <f t="shared" si="15"/>
        <v>45-59</v>
      </c>
      <c r="L366" s="1" t="str">
        <f t="shared" si="16"/>
        <v>Low</v>
      </c>
      <c r="M366" s="1" t="str">
        <f t="shared" si="17"/>
        <v>Yes</v>
      </c>
    </row>
    <row r="367" spans="1:13" x14ac:dyDescent="0.35">
      <c r="A367">
        <v>372</v>
      </c>
      <c r="B367">
        <v>58</v>
      </c>
      <c r="C367" t="s">
        <v>15</v>
      </c>
      <c r="D367" t="s">
        <v>38</v>
      </c>
      <c r="E367" t="s">
        <v>39</v>
      </c>
      <c r="F367">
        <v>20000</v>
      </c>
      <c r="G367">
        <v>33</v>
      </c>
      <c r="H367" t="s">
        <v>13</v>
      </c>
      <c r="I367" t="s">
        <v>14</v>
      </c>
      <c r="J367">
        <v>3</v>
      </c>
      <c r="K367" s="1" t="str">
        <f t="shared" si="15"/>
        <v>45-59</v>
      </c>
      <c r="L367" s="1" t="str">
        <f t="shared" si="16"/>
        <v>High</v>
      </c>
      <c r="M367" s="1" t="str">
        <f t="shared" si="17"/>
        <v>No</v>
      </c>
    </row>
    <row r="368" spans="1:13" x14ac:dyDescent="0.35">
      <c r="A368">
        <v>373</v>
      </c>
      <c r="B368">
        <v>32</v>
      </c>
      <c r="C368" t="s">
        <v>10</v>
      </c>
      <c r="D368" t="s">
        <v>40</v>
      </c>
      <c r="E368" t="s">
        <v>41</v>
      </c>
      <c r="F368">
        <v>12000</v>
      </c>
      <c r="G368">
        <v>27</v>
      </c>
      <c r="H368" t="s">
        <v>13</v>
      </c>
      <c r="I368" t="s">
        <v>14</v>
      </c>
      <c r="J368">
        <v>4</v>
      </c>
      <c r="K368" s="1" t="str">
        <f t="shared" si="15"/>
        <v>30-44</v>
      </c>
      <c r="L368" s="1" t="str">
        <f t="shared" si="16"/>
        <v>High</v>
      </c>
      <c r="M368" s="1" t="str">
        <f t="shared" si="17"/>
        <v>Yes</v>
      </c>
    </row>
    <row r="369" spans="1:13" x14ac:dyDescent="0.35">
      <c r="A369">
        <v>374</v>
      </c>
      <c r="B369">
        <v>55</v>
      </c>
      <c r="C369" t="s">
        <v>15</v>
      </c>
      <c r="D369" t="s">
        <v>42</v>
      </c>
      <c r="E369" t="s">
        <v>43</v>
      </c>
      <c r="F369">
        <v>6000</v>
      </c>
      <c r="G369">
        <v>28</v>
      </c>
      <c r="H369" t="s">
        <v>13</v>
      </c>
      <c r="I369" t="s">
        <v>14</v>
      </c>
      <c r="J369">
        <v>3</v>
      </c>
      <c r="K369" s="1" t="str">
        <f t="shared" si="15"/>
        <v>45-59</v>
      </c>
      <c r="L369" s="1" t="str">
        <f t="shared" si="16"/>
        <v>Medium</v>
      </c>
      <c r="M369" s="1" t="str">
        <f t="shared" si="17"/>
        <v>No</v>
      </c>
    </row>
    <row r="370" spans="1:13" x14ac:dyDescent="0.35">
      <c r="A370">
        <v>375</v>
      </c>
      <c r="B370">
        <v>65</v>
      </c>
      <c r="C370" t="s">
        <v>10</v>
      </c>
      <c r="D370" t="s">
        <v>44</v>
      </c>
      <c r="E370" t="s">
        <v>45</v>
      </c>
      <c r="F370">
        <v>4000</v>
      </c>
      <c r="G370">
        <v>29</v>
      </c>
      <c r="H370" t="s">
        <v>13</v>
      </c>
      <c r="I370" t="s">
        <v>19</v>
      </c>
      <c r="J370">
        <v>4</v>
      </c>
      <c r="K370" s="1" t="str">
        <f t="shared" si="15"/>
        <v>60-74</v>
      </c>
      <c r="L370" s="1" t="str">
        <f t="shared" si="16"/>
        <v>Medium</v>
      </c>
      <c r="M370" s="1" t="str">
        <f t="shared" si="17"/>
        <v>Yes</v>
      </c>
    </row>
    <row r="371" spans="1:13" x14ac:dyDescent="0.35">
      <c r="A371">
        <v>376</v>
      </c>
      <c r="B371">
        <v>55</v>
      </c>
      <c r="C371" t="s">
        <v>10</v>
      </c>
      <c r="D371" t="s">
        <v>11</v>
      </c>
      <c r="E371" t="s">
        <v>12</v>
      </c>
      <c r="F371">
        <v>15000</v>
      </c>
      <c r="G371">
        <v>30</v>
      </c>
      <c r="H371" t="s">
        <v>18</v>
      </c>
      <c r="I371" t="s">
        <v>14</v>
      </c>
      <c r="J371">
        <v>3</v>
      </c>
      <c r="K371" s="1" t="str">
        <f t="shared" si="15"/>
        <v>45-59</v>
      </c>
      <c r="L371" s="1" t="str">
        <f t="shared" si="16"/>
        <v>High</v>
      </c>
      <c r="M371" s="1" t="str">
        <f t="shared" si="17"/>
        <v>No</v>
      </c>
    </row>
    <row r="372" spans="1:13" x14ac:dyDescent="0.35">
      <c r="A372">
        <v>377</v>
      </c>
      <c r="B372">
        <v>62</v>
      </c>
      <c r="C372" t="s">
        <v>15</v>
      </c>
      <c r="D372" t="s">
        <v>16</v>
      </c>
      <c r="E372" t="s">
        <v>17</v>
      </c>
      <c r="F372">
        <v>2000</v>
      </c>
      <c r="G372">
        <v>28</v>
      </c>
      <c r="H372" t="s">
        <v>13</v>
      </c>
      <c r="I372" t="s">
        <v>19</v>
      </c>
      <c r="J372">
        <v>4</v>
      </c>
      <c r="K372" s="1" t="str">
        <f t="shared" si="15"/>
        <v>60-74</v>
      </c>
      <c r="L372" s="1" t="str">
        <f t="shared" si="16"/>
        <v>Medium</v>
      </c>
      <c r="M372" s="1" t="str">
        <f t="shared" si="17"/>
        <v>Yes</v>
      </c>
    </row>
    <row r="373" spans="1:13" x14ac:dyDescent="0.35">
      <c r="A373">
        <v>378</v>
      </c>
      <c r="B373">
        <v>35</v>
      </c>
      <c r="C373" t="s">
        <v>10</v>
      </c>
      <c r="D373" t="s">
        <v>20</v>
      </c>
      <c r="E373" t="s">
        <v>21</v>
      </c>
      <c r="F373">
        <v>500</v>
      </c>
      <c r="G373">
        <v>26</v>
      </c>
      <c r="H373" t="s">
        <v>18</v>
      </c>
      <c r="I373" t="s">
        <v>14</v>
      </c>
      <c r="J373">
        <v>5</v>
      </c>
      <c r="K373" s="1" t="str">
        <f t="shared" si="15"/>
        <v>30-44</v>
      </c>
      <c r="L373" s="1" t="str">
        <f t="shared" si="16"/>
        <v>Low</v>
      </c>
      <c r="M373" s="1" t="str">
        <f t="shared" si="17"/>
        <v>Yes</v>
      </c>
    </row>
    <row r="374" spans="1:13" x14ac:dyDescent="0.35">
      <c r="A374">
        <v>379</v>
      </c>
      <c r="B374">
        <v>78</v>
      </c>
      <c r="C374" t="s">
        <v>15</v>
      </c>
      <c r="D374" t="s">
        <v>22</v>
      </c>
      <c r="E374" t="s">
        <v>23</v>
      </c>
      <c r="F374">
        <v>10000</v>
      </c>
      <c r="G374">
        <v>33</v>
      </c>
      <c r="H374" t="s">
        <v>13</v>
      </c>
      <c r="I374" t="s">
        <v>19</v>
      </c>
      <c r="J374">
        <v>2</v>
      </c>
      <c r="K374" s="1" t="str">
        <f t="shared" si="15"/>
        <v>75+</v>
      </c>
      <c r="L374" s="1" t="str">
        <f t="shared" si="16"/>
        <v>High</v>
      </c>
      <c r="M374" s="1" t="str">
        <f t="shared" si="17"/>
        <v>No</v>
      </c>
    </row>
    <row r="375" spans="1:13" x14ac:dyDescent="0.35">
      <c r="A375">
        <v>380</v>
      </c>
      <c r="B375">
        <v>53</v>
      </c>
      <c r="C375" t="s">
        <v>10</v>
      </c>
      <c r="D375" t="s">
        <v>24</v>
      </c>
      <c r="E375" t="s">
        <v>25</v>
      </c>
      <c r="F375">
        <v>25000</v>
      </c>
      <c r="G375">
        <v>35</v>
      </c>
      <c r="H375" t="s">
        <v>18</v>
      </c>
      <c r="I375" t="s">
        <v>14</v>
      </c>
      <c r="J375">
        <v>4</v>
      </c>
      <c r="K375" s="1" t="str">
        <f t="shared" si="15"/>
        <v>45-59</v>
      </c>
      <c r="L375" s="1" t="str">
        <f t="shared" si="16"/>
        <v>High</v>
      </c>
      <c r="M375" s="1" t="str">
        <f t="shared" si="17"/>
        <v>Yes</v>
      </c>
    </row>
    <row r="376" spans="1:13" x14ac:dyDescent="0.35">
      <c r="A376">
        <v>381</v>
      </c>
      <c r="B376">
        <v>72</v>
      </c>
      <c r="C376" t="s">
        <v>15</v>
      </c>
      <c r="D376" t="s">
        <v>26</v>
      </c>
      <c r="E376" t="s">
        <v>27</v>
      </c>
      <c r="F376">
        <v>1000</v>
      </c>
      <c r="G376">
        <v>27</v>
      </c>
      <c r="H376" t="s">
        <v>13</v>
      </c>
      <c r="I376" t="s">
        <v>19</v>
      </c>
      <c r="J376">
        <v>4</v>
      </c>
      <c r="K376" s="1" t="str">
        <f t="shared" si="15"/>
        <v>60-74</v>
      </c>
      <c r="L376" s="1" t="str">
        <f t="shared" si="16"/>
        <v>Low</v>
      </c>
      <c r="M376" s="1" t="str">
        <f t="shared" si="17"/>
        <v>Yes</v>
      </c>
    </row>
    <row r="377" spans="1:13" x14ac:dyDescent="0.35">
      <c r="A377">
        <v>382</v>
      </c>
      <c r="B377">
        <v>60</v>
      </c>
      <c r="C377" t="s">
        <v>10</v>
      </c>
      <c r="D377" t="s">
        <v>28</v>
      </c>
      <c r="E377" t="s">
        <v>29</v>
      </c>
      <c r="F377">
        <v>8000</v>
      </c>
      <c r="G377">
        <v>29</v>
      </c>
      <c r="H377" t="s">
        <v>18</v>
      </c>
      <c r="I377" t="s">
        <v>14</v>
      </c>
      <c r="J377">
        <v>3</v>
      </c>
      <c r="K377" s="1" t="str">
        <f t="shared" si="15"/>
        <v>60-74</v>
      </c>
      <c r="L377" s="1" t="str">
        <f t="shared" si="16"/>
        <v>Medium</v>
      </c>
      <c r="M377" s="1" t="str">
        <f t="shared" si="17"/>
        <v>No</v>
      </c>
    </row>
    <row r="378" spans="1:13" x14ac:dyDescent="0.35">
      <c r="A378">
        <v>383</v>
      </c>
      <c r="B378">
        <v>45</v>
      </c>
      <c r="C378" t="s">
        <v>15</v>
      </c>
      <c r="D378" t="s">
        <v>30</v>
      </c>
      <c r="E378" t="s">
        <v>31</v>
      </c>
      <c r="F378">
        <v>3000</v>
      </c>
      <c r="G378">
        <v>31</v>
      </c>
      <c r="H378" t="s">
        <v>13</v>
      </c>
      <c r="I378" t="s">
        <v>14</v>
      </c>
      <c r="J378">
        <v>4</v>
      </c>
      <c r="K378" s="1" t="str">
        <f t="shared" si="15"/>
        <v>45-59</v>
      </c>
      <c r="L378" s="1" t="str">
        <f t="shared" si="16"/>
        <v>Medium</v>
      </c>
      <c r="M378" s="1" t="str">
        <f t="shared" si="17"/>
        <v>Yes</v>
      </c>
    </row>
    <row r="379" spans="1:13" x14ac:dyDescent="0.35">
      <c r="A379">
        <v>384</v>
      </c>
      <c r="B379">
        <v>75</v>
      </c>
      <c r="C379" t="s">
        <v>10</v>
      </c>
      <c r="D379" t="s">
        <v>32</v>
      </c>
      <c r="E379" t="s">
        <v>33</v>
      </c>
      <c r="F379">
        <v>18000</v>
      </c>
      <c r="G379">
        <v>33</v>
      </c>
      <c r="H379" t="s">
        <v>18</v>
      </c>
      <c r="I379" t="s">
        <v>19</v>
      </c>
      <c r="J379">
        <v>2</v>
      </c>
      <c r="K379" s="1" t="str">
        <f t="shared" si="15"/>
        <v>75+</v>
      </c>
      <c r="L379" s="1" t="str">
        <f t="shared" si="16"/>
        <v>High</v>
      </c>
      <c r="M379" s="1" t="str">
        <f t="shared" si="17"/>
        <v>No</v>
      </c>
    </row>
    <row r="380" spans="1:13" x14ac:dyDescent="0.35">
      <c r="A380">
        <v>385</v>
      </c>
      <c r="B380">
        <v>28</v>
      </c>
      <c r="C380" t="s">
        <v>15</v>
      </c>
      <c r="D380" t="s">
        <v>34</v>
      </c>
      <c r="E380" t="s">
        <v>35</v>
      </c>
      <c r="F380">
        <v>100</v>
      </c>
      <c r="G380">
        <v>26</v>
      </c>
      <c r="H380" t="s">
        <v>13</v>
      </c>
      <c r="I380" t="s">
        <v>14</v>
      </c>
      <c r="J380">
        <v>5</v>
      </c>
      <c r="K380" s="1" t="str">
        <f t="shared" si="15"/>
        <v>18-29</v>
      </c>
      <c r="L380" s="1" t="str">
        <f t="shared" si="16"/>
        <v>Low</v>
      </c>
      <c r="M380" s="1" t="str">
        <f t="shared" si="17"/>
        <v>Yes</v>
      </c>
    </row>
    <row r="381" spans="1:13" x14ac:dyDescent="0.35">
      <c r="A381">
        <v>386</v>
      </c>
      <c r="B381">
        <v>52</v>
      </c>
      <c r="C381" t="s">
        <v>10</v>
      </c>
      <c r="D381" t="s">
        <v>36</v>
      </c>
      <c r="E381" t="s">
        <v>37</v>
      </c>
      <c r="F381">
        <v>800</v>
      </c>
      <c r="G381">
        <v>27</v>
      </c>
      <c r="H381" t="s">
        <v>13</v>
      </c>
      <c r="I381" t="s">
        <v>19</v>
      </c>
      <c r="J381">
        <v>4</v>
      </c>
      <c r="K381" s="1" t="str">
        <f t="shared" si="15"/>
        <v>45-59</v>
      </c>
      <c r="L381" s="1" t="str">
        <f t="shared" si="16"/>
        <v>Low</v>
      </c>
      <c r="M381" s="1" t="str">
        <f t="shared" si="17"/>
        <v>Yes</v>
      </c>
    </row>
    <row r="382" spans="1:13" x14ac:dyDescent="0.35">
      <c r="A382">
        <v>387</v>
      </c>
      <c r="B382">
        <v>67</v>
      </c>
      <c r="C382" t="s">
        <v>15</v>
      </c>
      <c r="D382" t="s">
        <v>38</v>
      </c>
      <c r="E382" t="s">
        <v>39</v>
      </c>
      <c r="F382">
        <v>20000</v>
      </c>
      <c r="G382">
        <v>34</v>
      </c>
      <c r="H382" t="s">
        <v>13</v>
      </c>
      <c r="I382" t="s">
        <v>14</v>
      </c>
      <c r="J382">
        <v>3</v>
      </c>
      <c r="K382" s="1" t="str">
        <f t="shared" si="15"/>
        <v>60-74</v>
      </c>
      <c r="L382" s="1" t="str">
        <f t="shared" si="16"/>
        <v>High</v>
      </c>
      <c r="M382" s="1" t="str">
        <f t="shared" si="17"/>
        <v>No</v>
      </c>
    </row>
    <row r="383" spans="1:13" x14ac:dyDescent="0.35">
      <c r="A383">
        <v>388</v>
      </c>
      <c r="B383">
        <v>35</v>
      </c>
      <c r="C383" t="s">
        <v>10</v>
      </c>
      <c r="D383" t="s">
        <v>40</v>
      </c>
      <c r="E383" t="s">
        <v>41</v>
      </c>
      <c r="F383">
        <v>12000</v>
      </c>
      <c r="G383">
        <v>28</v>
      </c>
      <c r="H383" t="s">
        <v>13</v>
      </c>
      <c r="I383" t="s">
        <v>14</v>
      </c>
      <c r="J383">
        <v>4</v>
      </c>
      <c r="K383" s="1" t="str">
        <f t="shared" si="15"/>
        <v>30-44</v>
      </c>
      <c r="L383" s="1" t="str">
        <f t="shared" si="16"/>
        <v>High</v>
      </c>
      <c r="M383" s="1" t="str">
        <f t="shared" si="17"/>
        <v>Yes</v>
      </c>
    </row>
    <row r="384" spans="1:13" x14ac:dyDescent="0.35">
      <c r="A384">
        <v>389</v>
      </c>
      <c r="B384">
        <v>50</v>
      </c>
      <c r="C384" t="s">
        <v>15</v>
      </c>
      <c r="D384" t="s">
        <v>42</v>
      </c>
      <c r="E384" t="s">
        <v>43</v>
      </c>
      <c r="F384">
        <v>6000</v>
      </c>
      <c r="G384">
        <v>29</v>
      </c>
      <c r="H384" t="s">
        <v>13</v>
      </c>
      <c r="I384" t="s">
        <v>14</v>
      </c>
      <c r="J384">
        <v>3</v>
      </c>
      <c r="K384" s="1" t="str">
        <f t="shared" si="15"/>
        <v>45-59</v>
      </c>
      <c r="L384" s="1" t="str">
        <f t="shared" si="16"/>
        <v>Medium</v>
      </c>
      <c r="M384" s="1" t="str">
        <f t="shared" si="17"/>
        <v>No</v>
      </c>
    </row>
    <row r="385" spans="1:13" x14ac:dyDescent="0.35">
      <c r="A385">
        <v>390</v>
      </c>
      <c r="B385">
        <v>60</v>
      </c>
      <c r="C385" t="s">
        <v>10</v>
      </c>
      <c r="D385" t="s">
        <v>44</v>
      </c>
      <c r="E385" t="s">
        <v>45</v>
      </c>
      <c r="F385">
        <v>4000</v>
      </c>
      <c r="G385">
        <v>30</v>
      </c>
      <c r="H385" t="s">
        <v>13</v>
      </c>
      <c r="I385" t="s">
        <v>19</v>
      </c>
      <c r="J385">
        <v>4</v>
      </c>
      <c r="K385" s="1" t="str">
        <f t="shared" si="15"/>
        <v>60-74</v>
      </c>
      <c r="L385" s="1" t="str">
        <f t="shared" si="16"/>
        <v>Medium</v>
      </c>
      <c r="M385" s="1" t="str">
        <f t="shared" si="17"/>
        <v>Yes</v>
      </c>
    </row>
    <row r="386" spans="1:13" x14ac:dyDescent="0.35">
      <c r="A386">
        <v>391</v>
      </c>
      <c r="B386">
        <v>48</v>
      </c>
      <c r="C386" t="s">
        <v>10</v>
      </c>
      <c r="D386" t="s">
        <v>11</v>
      </c>
      <c r="E386" t="s">
        <v>12</v>
      </c>
      <c r="F386">
        <v>15000</v>
      </c>
      <c r="G386">
        <v>31</v>
      </c>
      <c r="H386" t="s">
        <v>18</v>
      </c>
      <c r="I386" t="s">
        <v>14</v>
      </c>
      <c r="J386">
        <v>4</v>
      </c>
      <c r="K386" s="1" t="str">
        <f t="shared" si="15"/>
        <v>45-59</v>
      </c>
      <c r="L386" s="1" t="str">
        <f t="shared" si="16"/>
        <v>High</v>
      </c>
      <c r="M386" s="1" t="str">
        <f t="shared" si="17"/>
        <v>Yes</v>
      </c>
    </row>
    <row r="387" spans="1:13" x14ac:dyDescent="0.35">
      <c r="A387">
        <v>392</v>
      </c>
      <c r="B387">
        <v>65</v>
      </c>
      <c r="C387" t="s">
        <v>15</v>
      </c>
      <c r="D387" t="s">
        <v>16</v>
      </c>
      <c r="E387" t="s">
        <v>17</v>
      </c>
      <c r="F387">
        <v>2000</v>
      </c>
      <c r="G387">
        <v>29</v>
      </c>
      <c r="H387" t="s">
        <v>13</v>
      </c>
      <c r="I387" t="s">
        <v>19</v>
      </c>
      <c r="J387">
        <v>3</v>
      </c>
      <c r="K387" s="1" t="str">
        <f t="shared" ref="K387:K450" si="18">IF(B387&lt;30,"18-29",IF(B387&lt;45,"30-44",IF(B387&lt;60,"45-59",IF(B387&lt;75,"60-74","75+"))))</f>
        <v>60-74</v>
      </c>
      <c r="L387" s="1" t="str">
        <f t="shared" ref="L387:L450" si="19">IF(F387&lt;=1000,"Low",IF(F387&lt;=8000,"Medium","High"))</f>
        <v>Medium</v>
      </c>
      <c r="M387" s="1" t="str">
        <f t="shared" ref="M387:M450" si="20">IF(J387&gt;=4,"Yes","No")</f>
        <v>No</v>
      </c>
    </row>
    <row r="388" spans="1:13" x14ac:dyDescent="0.35">
      <c r="A388">
        <v>393</v>
      </c>
      <c r="B388">
        <v>30</v>
      </c>
      <c r="C388" t="s">
        <v>10</v>
      </c>
      <c r="D388" t="s">
        <v>20</v>
      </c>
      <c r="E388" t="s">
        <v>21</v>
      </c>
      <c r="F388">
        <v>500</v>
      </c>
      <c r="G388">
        <v>27</v>
      </c>
      <c r="H388" t="s">
        <v>13</v>
      </c>
      <c r="I388" t="s">
        <v>14</v>
      </c>
      <c r="J388">
        <v>5</v>
      </c>
      <c r="K388" s="1" t="str">
        <f t="shared" si="18"/>
        <v>30-44</v>
      </c>
      <c r="L388" s="1" t="str">
        <f t="shared" si="19"/>
        <v>Low</v>
      </c>
      <c r="M388" s="1" t="str">
        <f t="shared" si="20"/>
        <v>Yes</v>
      </c>
    </row>
    <row r="389" spans="1:13" x14ac:dyDescent="0.35">
      <c r="A389">
        <v>394</v>
      </c>
      <c r="B389">
        <v>70</v>
      </c>
      <c r="C389" t="s">
        <v>15</v>
      </c>
      <c r="D389" t="s">
        <v>22</v>
      </c>
      <c r="E389" t="s">
        <v>23</v>
      </c>
      <c r="F389">
        <v>10000</v>
      </c>
      <c r="G389">
        <v>34</v>
      </c>
      <c r="H389" t="s">
        <v>18</v>
      </c>
      <c r="I389" t="s">
        <v>19</v>
      </c>
      <c r="J389">
        <v>2</v>
      </c>
      <c r="K389" s="1" t="str">
        <f t="shared" si="18"/>
        <v>60-74</v>
      </c>
      <c r="L389" s="1" t="str">
        <f t="shared" si="19"/>
        <v>High</v>
      </c>
      <c r="M389" s="1" t="str">
        <f t="shared" si="20"/>
        <v>No</v>
      </c>
    </row>
    <row r="390" spans="1:13" x14ac:dyDescent="0.35">
      <c r="A390">
        <v>395</v>
      </c>
      <c r="B390">
        <v>55</v>
      </c>
      <c r="C390" t="s">
        <v>10</v>
      </c>
      <c r="D390" t="s">
        <v>24</v>
      </c>
      <c r="E390" t="s">
        <v>25</v>
      </c>
      <c r="F390">
        <v>25000</v>
      </c>
      <c r="G390">
        <v>36</v>
      </c>
      <c r="H390" t="s">
        <v>13</v>
      </c>
      <c r="I390" t="s">
        <v>14</v>
      </c>
      <c r="J390">
        <v>4</v>
      </c>
      <c r="K390" s="1" t="str">
        <f t="shared" si="18"/>
        <v>45-59</v>
      </c>
      <c r="L390" s="1" t="str">
        <f t="shared" si="19"/>
        <v>High</v>
      </c>
      <c r="M390" s="1" t="str">
        <f t="shared" si="20"/>
        <v>Yes</v>
      </c>
    </row>
    <row r="391" spans="1:13" x14ac:dyDescent="0.35">
      <c r="A391">
        <v>396</v>
      </c>
      <c r="B391">
        <v>68</v>
      </c>
      <c r="C391" t="s">
        <v>15</v>
      </c>
      <c r="D391" t="s">
        <v>26</v>
      </c>
      <c r="E391" t="s">
        <v>27</v>
      </c>
      <c r="F391">
        <v>1000</v>
      </c>
      <c r="G391">
        <v>28</v>
      </c>
      <c r="H391" t="s">
        <v>13</v>
      </c>
      <c r="I391" t="s">
        <v>19</v>
      </c>
      <c r="J391">
        <v>4</v>
      </c>
      <c r="K391" s="1" t="str">
        <f t="shared" si="18"/>
        <v>60-74</v>
      </c>
      <c r="L391" s="1" t="str">
        <f t="shared" si="19"/>
        <v>Low</v>
      </c>
      <c r="M391" s="1" t="str">
        <f t="shared" si="20"/>
        <v>Yes</v>
      </c>
    </row>
    <row r="392" spans="1:13" x14ac:dyDescent="0.35">
      <c r="A392">
        <v>397</v>
      </c>
      <c r="B392">
        <v>45</v>
      </c>
      <c r="C392" t="s">
        <v>10</v>
      </c>
      <c r="D392" t="s">
        <v>28</v>
      </c>
      <c r="E392" t="s">
        <v>29</v>
      </c>
      <c r="F392">
        <v>8000</v>
      </c>
      <c r="G392">
        <v>30</v>
      </c>
      <c r="H392" t="s">
        <v>13</v>
      </c>
      <c r="I392" t="s">
        <v>14</v>
      </c>
      <c r="J392">
        <v>3</v>
      </c>
      <c r="K392" s="1" t="str">
        <f t="shared" si="18"/>
        <v>45-59</v>
      </c>
      <c r="L392" s="1" t="str">
        <f t="shared" si="19"/>
        <v>Medium</v>
      </c>
      <c r="M392" s="1" t="str">
        <f t="shared" si="20"/>
        <v>No</v>
      </c>
    </row>
    <row r="393" spans="1:13" x14ac:dyDescent="0.35">
      <c r="A393">
        <v>398</v>
      </c>
      <c r="B393">
        <v>40</v>
      </c>
      <c r="C393" t="s">
        <v>15</v>
      </c>
      <c r="D393" t="s">
        <v>30</v>
      </c>
      <c r="E393" t="s">
        <v>31</v>
      </c>
      <c r="F393">
        <v>3000</v>
      </c>
      <c r="G393">
        <v>32</v>
      </c>
      <c r="H393" t="s">
        <v>13</v>
      </c>
      <c r="I393" t="s">
        <v>14</v>
      </c>
      <c r="J393">
        <v>4</v>
      </c>
      <c r="K393" s="1" t="str">
        <f t="shared" si="18"/>
        <v>30-44</v>
      </c>
      <c r="L393" s="1" t="str">
        <f t="shared" si="19"/>
        <v>Medium</v>
      </c>
      <c r="M393" s="1" t="str">
        <f t="shared" si="20"/>
        <v>Yes</v>
      </c>
    </row>
    <row r="394" spans="1:13" x14ac:dyDescent="0.35">
      <c r="A394">
        <v>399</v>
      </c>
      <c r="B394">
        <v>78</v>
      </c>
      <c r="C394" t="s">
        <v>10</v>
      </c>
      <c r="D394" t="s">
        <v>32</v>
      </c>
      <c r="E394" t="s">
        <v>33</v>
      </c>
      <c r="F394">
        <v>18000</v>
      </c>
      <c r="G394">
        <v>34</v>
      </c>
      <c r="H394" t="s">
        <v>18</v>
      </c>
      <c r="I394" t="s">
        <v>19</v>
      </c>
      <c r="J394">
        <v>2</v>
      </c>
      <c r="K394" s="1" t="str">
        <f t="shared" si="18"/>
        <v>75+</v>
      </c>
      <c r="L394" s="1" t="str">
        <f t="shared" si="19"/>
        <v>High</v>
      </c>
      <c r="M394" s="1" t="str">
        <f t="shared" si="20"/>
        <v>No</v>
      </c>
    </row>
    <row r="395" spans="1:13" x14ac:dyDescent="0.35">
      <c r="A395">
        <v>400</v>
      </c>
      <c r="B395">
        <v>25</v>
      </c>
      <c r="C395" t="s">
        <v>15</v>
      </c>
      <c r="D395" t="s">
        <v>34</v>
      </c>
      <c r="E395" t="s">
        <v>35</v>
      </c>
      <c r="F395">
        <v>100</v>
      </c>
      <c r="G395">
        <v>27</v>
      </c>
      <c r="H395" t="s">
        <v>13</v>
      </c>
      <c r="I395" t="s">
        <v>14</v>
      </c>
      <c r="J395">
        <v>5</v>
      </c>
      <c r="K395" s="1" t="str">
        <f t="shared" si="18"/>
        <v>18-29</v>
      </c>
      <c r="L395" s="1" t="str">
        <f t="shared" si="19"/>
        <v>Low</v>
      </c>
      <c r="M395" s="1" t="str">
        <f t="shared" si="20"/>
        <v>Yes</v>
      </c>
    </row>
    <row r="396" spans="1:13" x14ac:dyDescent="0.35">
      <c r="A396">
        <v>401</v>
      </c>
      <c r="B396">
        <v>52</v>
      </c>
      <c r="C396" t="s">
        <v>10</v>
      </c>
      <c r="D396" t="s">
        <v>36</v>
      </c>
      <c r="E396" t="s">
        <v>37</v>
      </c>
      <c r="F396">
        <v>800</v>
      </c>
      <c r="G396">
        <v>28</v>
      </c>
      <c r="H396" t="s">
        <v>13</v>
      </c>
      <c r="I396" t="s">
        <v>19</v>
      </c>
      <c r="J396">
        <v>4</v>
      </c>
      <c r="K396" s="1" t="str">
        <f t="shared" si="18"/>
        <v>45-59</v>
      </c>
      <c r="L396" s="1" t="str">
        <f t="shared" si="19"/>
        <v>Low</v>
      </c>
      <c r="M396" s="1" t="str">
        <f t="shared" si="20"/>
        <v>Yes</v>
      </c>
    </row>
    <row r="397" spans="1:13" x14ac:dyDescent="0.35">
      <c r="A397">
        <v>402</v>
      </c>
      <c r="B397">
        <v>58</v>
      </c>
      <c r="C397" t="s">
        <v>15</v>
      </c>
      <c r="D397" t="s">
        <v>38</v>
      </c>
      <c r="E397" t="s">
        <v>39</v>
      </c>
      <c r="F397">
        <v>20000</v>
      </c>
      <c r="G397">
        <v>35</v>
      </c>
      <c r="H397" t="s">
        <v>13</v>
      </c>
      <c r="I397" t="s">
        <v>14</v>
      </c>
      <c r="J397">
        <v>3</v>
      </c>
      <c r="K397" s="1" t="str">
        <f t="shared" si="18"/>
        <v>45-59</v>
      </c>
      <c r="L397" s="1" t="str">
        <f t="shared" si="19"/>
        <v>High</v>
      </c>
      <c r="M397" s="1" t="str">
        <f t="shared" si="20"/>
        <v>No</v>
      </c>
    </row>
    <row r="398" spans="1:13" x14ac:dyDescent="0.35">
      <c r="A398">
        <v>403</v>
      </c>
      <c r="B398">
        <v>32</v>
      </c>
      <c r="C398" t="s">
        <v>10</v>
      </c>
      <c r="D398" t="s">
        <v>40</v>
      </c>
      <c r="E398" t="s">
        <v>41</v>
      </c>
      <c r="F398">
        <v>12000</v>
      </c>
      <c r="G398">
        <v>29</v>
      </c>
      <c r="H398" t="s">
        <v>13</v>
      </c>
      <c r="I398" t="s">
        <v>14</v>
      </c>
      <c r="J398">
        <v>4</v>
      </c>
      <c r="K398" s="1" t="str">
        <f t="shared" si="18"/>
        <v>30-44</v>
      </c>
      <c r="L398" s="1" t="str">
        <f t="shared" si="19"/>
        <v>High</v>
      </c>
      <c r="M398" s="1" t="str">
        <f t="shared" si="20"/>
        <v>Yes</v>
      </c>
    </row>
    <row r="399" spans="1:13" x14ac:dyDescent="0.35">
      <c r="A399">
        <v>404</v>
      </c>
      <c r="B399">
        <v>55</v>
      </c>
      <c r="C399" t="s">
        <v>15</v>
      </c>
      <c r="D399" t="s">
        <v>42</v>
      </c>
      <c r="E399" t="s">
        <v>43</v>
      </c>
      <c r="F399">
        <v>6000</v>
      </c>
      <c r="G399">
        <v>30</v>
      </c>
      <c r="H399" t="s">
        <v>13</v>
      </c>
      <c r="I399" t="s">
        <v>14</v>
      </c>
      <c r="J399">
        <v>3</v>
      </c>
      <c r="K399" s="1" t="str">
        <f t="shared" si="18"/>
        <v>45-59</v>
      </c>
      <c r="L399" s="1" t="str">
        <f t="shared" si="19"/>
        <v>Medium</v>
      </c>
      <c r="M399" s="1" t="str">
        <f t="shared" si="20"/>
        <v>No</v>
      </c>
    </row>
    <row r="400" spans="1:13" x14ac:dyDescent="0.35">
      <c r="A400">
        <v>405</v>
      </c>
      <c r="B400">
        <v>65</v>
      </c>
      <c r="C400" t="s">
        <v>10</v>
      </c>
      <c r="D400" t="s">
        <v>44</v>
      </c>
      <c r="E400" t="s">
        <v>45</v>
      </c>
      <c r="F400">
        <v>4000</v>
      </c>
      <c r="G400">
        <v>31</v>
      </c>
      <c r="H400" t="s">
        <v>13</v>
      </c>
      <c r="I400" t="s">
        <v>19</v>
      </c>
      <c r="J400">
        <v>4</v>
      </c>
      <c r="K400" s="1" t="str">
        <f t="shared" si="18"/>
        <v>60-74</v>
      </c>
      <c r="L400" s="1" t="str">
        <f t="shared" si="19"/>
        <v>Medium</v>
      </c>
      <c r="M400" s="1" t="str">
        <f t="shared" si="20"/>
        <v>Yes</v>
      </c>
    </row>
    <row r="401" spans="1:13" x14ac:dyDescent="0.35">
      <c r="A401">
        <v>406</v>
      </c>
      <c r="B401">
        <v>55</v>
      </c>
      <c r="C401" t="s">
        <v>10</v>
      </c>
      <c r="D401" t="s">
        <v>11</v>
      </c>
      <c r="E401" t="s">
        <v>12</v>
      </c>
      <c r="F401">
        <v>15000</v>
      </c>
      <c r="G401">
        <v>32</v>
      </c>
      <c r="H401" t="s">
        <v>18</v>
      </c>
      <c r="I401" t="s">
        <v>14</v>
      </c>
      <c r="J401">
        <v>3</v>
      </c>
      <c r="K401" s="1" t="str">
        <f t="shared" si="18"/>
        <v>45-59</v>
      </c>
      <c r="L401" s="1" t="str">
        <f t="shared" si="19"/>
        <v>High</v>
      </c>
      <c r="M401" s="1" t="str">
        <f t="shared" si="20"/>
        <v>No</v>
      </c>
    </row>
    <row r="402" spans="1:13" x14ac:dyDescent="0.35">
      <c r="A402">
        <v>407</v>
      </c>
      <c r="B402">
        <v>62</v>
      </c>
      <c r="C402" t="s">
        <v>15</v>
      </c>
      <c r="D402" t="s">
        <v>16</v>
      </c>
      <c r="E402" t="s">
        <v>17</v>
      </c>
      <c r="F402">
        <v>2000</v>
      </c>
      <c r="G402">
        <v>30</v>
      </c>
      <c r="H402" t="s">
        <v>13</v>
      </c>
      <c r="I402" t="s">
        <v>19</v>
      </c>
      <c r="J402">
        <v>4</v>
      </c>
      <c r="K402" s="1" t="str">
        <f t="shared" si="18"/>
        <v>60-74</v>
      </c>
      <c r="L402" s="1" t="str">
        <f t="shared" si="19"/>
        <v>Medium</v>
      </c>
      <c r="M402" s="1" t="str">
        <f t="shared" si="20"/>
        <v>Yes</v>
      </c>
    </row>
    <row r="403" spans="1:13" x14ac:dyDescent="0.35">
      <c r="A403">
        <v>408</v>
      </c>
      <c r="B403">
        <v>35</v>
      </c>
      <c r="C403" t="s">
        <v>10</v>
      </c>
      <c r="D403" t="s">
        <v>20</v>
      </c>
      <c r="E403" t="s">
        <v>21</v>
      </c>
      <c r="F403">
        <v>500</v>
      </c>
      <c r="G403">
        <v>28</v>
      </c>
      <c r="H403" t="s">
        <v>18</v>
      </c>
      <c r="I403" t="s">
        <v>14</v>
      </c>
      <c r="J403">
        <v>5</v>
      </c>
      <c r="K403" s="1" t="str">
        <f t="shared" si="18"/>
        <v>30-44</v>
      </c>
      <c r="L403" s="1" t="str">
        <f t="shared" si="19"/>
        <v>Low</v>
      </c>
      <c r="M403" s="1" t="str">
        <f t="shared" si="20"/>
        <v>Yes</v>
      </c>
    </row>
    <row r="404" spans="1:13" x14ac:dyDescent="0.35">
      <c r="A404">
        <v>409</v>
      </c>
      <c r="B404">
        <v>78</v>
      </c>
      <c r="C404" t="s">
        <v>15</v>
      </c>
      <c r="D404" t="s">
        <v>22</v>
      </c>
      <c r="E404" t="s">
        <v>23</v>
      </c>
      <c r="F404">
        <v>10000</v>
      </c>
      <c r="G404">
        <v>35</v>
      </c>
      <c r="H404" t="s">
        <v>13</v>
      </c>
      <c r="I404" t="s">
        <v>19</v>
      </c>
      <c r="J404">
        <v>2</v>
      </c>
      <c r="K404" s="1" t="str">
        <f t="shared" si="18"/>
        <v>75+</v>
      </c>
      <c r="L404" s="1" t="str">
        <f t="shared" si="19"/>
        <v>High</v>
      </c>
      <c r="M404" s="1" t="str">
        <f t="shared" si="20"/>
        <v>No</v>
      </c>
    </row>
    <row r="405" spans="1:13" x14ac:dyDescent="0.35">
      <c r="A405">
        <v>410</v>
      </c>
      <c r="B405">
        <v>53</v>
      </c>
      <c r="C405" t="s">
        <v>10</v>
      </c>
      <c r="D405" t="s">
        <v>24</v>
      </c>
      <c r="E405" t="s">
        <v>25</v>
      </c>
      <c r="F405">
        <v>25000</v>
      </c>
      <c r="G405">
        <v>37</v>
      </c>
      <c r="H405" t="s">
        <v>18</v>
      </c>
      <c r="I405" t="s">
        <v>14</v>
      </c>
      <c r="J405">
        <v>4</v>
      </c>
      <c r="K405" s="1" t="str">
        <f t="shared" si="18"/>
        <v>45-59</v>
      </c>
      <c r="L405" s="1" t="str">
        <f t="shared" si="19"/>
        <v>High</v>
      </c>
      <c r="M405" s="1" t="str">
        <f t="shared" si="20"/>
        <v>Yes</v>
      </c>
    </row>
    <row r="406" spans="1:13" x14ac:dyDescent="0.35">
      <c r="A406">
        <v>411</v>
      </c>
      <c r="B406">
        <v>72</v>
      </c>
      <c r="C406" t="s">
        <v>15</v>
      </c>
      <c r="D406" t="s">
        <v>26</v>
      </c>
      <c r="E406" t="s">
        <v>27</v>
      </c>
      <c r="F406">
        <v>1000</v>
      </c>
      <c r="G406">
        <v>29</v>
      </c>
      <c r="H406" t="s">
        <v>13</v>
      </c>
      <c r="I406" t="s">
        <v>19</v>
      </c>
      <c r="J406">
        <v>4</v>
      </c>
      <c r="K406" s="1" t="str">
        <f t="shared" si="18"/>
        <v>60-74</v>
      </c>
      <c r="L406" s="1" t="str">
        <f t="shared" si="19"/>
        <v>Low</v>
      </c>
      <c r="M406" s="1" t="str">
        <f t="shared" si="20"/>
        <v>Yes</v>
      </c>
    </row>
    <row r="407" spans="1:13" x14ac:dyDescent="0.35">
      <c r="A407">
        <v>412</v>
      </c>
      <c r="B407">
        <v>60</v>
      </c>
      <c r="C407" t="s">
        <v>10</v>
      </c>
      <c r="D407" t="s">
        <v>28</v>
      </c>
      <c r="E407" t="s">
        <v>29</v>
      </c>
      <c r="F407">
        <v>8000</v>
      </c>
      <c r="G407">
        <v>31</v>
      </c>
      <c r="H407" t="s">
        <v>18</v>
      </c>
      <c r="I407" t="s">
        <v>14</v>
      </c>
      <c r="J407">
        <v>3</v>
      </c>
      <c r="K407" s="1" t="str">
        <f t="shared" si="18"/>
        <v>60-74</v>
      </c>
      <c r="L407" s="1" t="str">
        <f t="shared" si="19"/>
        <v>Medium</v>
      </c>
      <c r="M407" s="1" t="str">
        <f t="shared" si="20"/>
        <v>No</v>
      </c>
    </row>
    <row r="408" spans="1:13" x14ac:dyDescent="0.35">
      <c r="A408">
        <v>413</v>
      </c>
      <c r="B408">
        <v>45</v>
      </c>
      <c r="C408" t="s">
        <v>15</v>
      </c>
      <c r="D408" t="s">
        <v>30</v>
      </c>
      <c r="E408" t="s">
        <v>31</v>
      </c>
      <c r="F408">
        <v>3000</v>
      </c>
      <c r="G408">
        <v>33</v>
      </c>
      <c r="H408" t="s">
        <v>13</v>
      </c>
      <c r="I408" t="s">
        <v>14</v>
      </c>
      <c r="J408">
        <v>4</v>
      </c>
      <c r="K408" s="1" t="str">
        <f t="shared" si="18"/>
        <v>45-59</v>
      </c>
      <c r="L408" s="1" t="str">
        <f t="shared" si="19"/>
        <v>Medium</v>
      </c>
      <c r="M408" s="1" t="str">
        <f t="shared" si="20"/>
        <v>Yes</v>
      </c>
    </row>
    <row r="409" spans="1:13" x14ac:dyDescent="0.35">
      <c r="A409">
        <v>414</v>
      </c>
      <c r="B409">
        <v>75</v>
      </c>
      <c r="C409" t="s">
        <v>10</v>
      </c>
      <c r="D409" t="s">
        <v>32</v>
      </c>
      <c r="E409" t="s">
        <v>33</v>
      </c>
      <c r="F409">
        <v>18000</v>
      </c>
      <c r="G409">
        <v>35</v>
      </c>
      <c r="H409" t="s">
        <v>18</v>
      </c>
      <c r="I409" t="s">
        <v>19</v>
      </c>
      <c r="J409">
        <v>2</v>
      </c>
      <c r="K409" s="1" t="str">
        <f t="shared" si="18"/>
        <v>75+</v>
      </c>
      <c r="L409" s="1" t="str">
        <f t="shared" si="19"/>
        <v>High</v>
      </c>
      <c r="M409" s="1" t="str">
        <f t="shared" si="20"/>
        <v>No</v>
      </c>
    </row>
    <row r="410" spans="1:13" x14ac:dyDescent="0.35">
      <c r="A410">
        <v>415</v>
      </c>
      <c r="B410">
        <v>28</v>
      </c>
      <c r="C410" t="s">
        <v>15</v>
      </c>
      <c r="D410" t="s">
        <v>34</v>
      </c>
      <c r="E410" t="s">
        <v>35</v>
      </c>
      <c r="F410">
        <v>100</v>
      </c>
      <c r="G410">
        <v>28</v>
      </c>
      <c r="H410" t="s">
        <v>13</v>
      </c>
      <c r="I410" t="s">
        <v>14</v>
      </c>
      <c r="J410">
        <v>5</v>
      </c>
      <c r="K410" s="1" t="str">
        <f t="shared" si="18"/>
        <v>18-29</v>
      </c>
      <c r="L410" s="1" t="str">
        <f t="shared" si="19"/>
        <v>Low</v>
      </c>
      <c r="M410" s="1" t="str">
        <f t="shared" si="20"/>
        <v>Yes</v>
      </c>
    </row>
    <row r="411" spans="1:13" x14ac:dyDescent="0.35">
      <c r="A411">
        <v>416</v>
      </c>
      <c r="B411">
        <v>52</v>
      </c>
      <c r="C411" t="s">
        <v>10</v>
      </c>
      <c r="D411" t="s">
        <v>36</v>
      </c>
      <c r="E411" t="s">
        <v>37</v>
      </c>
      <c r="F411">
        <v>800</v>
      </c>
      <c r="G411">
        <v>29</v>
      </c>
      <c r="H411" t="s">
        <v>13</v>
      </c>
      <c r="I411" t="s">
        <v>19</v>
      </c>
      <c r="J411">
        <v>4</v>
      </c>
      <c r="K411" s="1" t="str">
        <f t="shared" si="18"/>
        <v>45-59</v>
      </c>
      <c r="L411" s="1" t="str">
        <f t="shared" si="19"/>
        <v>Low</v>
      </c>
      <c r="M411" s="1" t="str">
        <f t="shared" si="20"/>
        <v>Yes</v>
      </c>
    </row>
    <row r="412" spans="1:13" x14ac:dyDescent="0.35">
      <c r="A412">
        <v>418</v>
      </c>
      <c r="B412">
        <v>35</v>
      </c>
      <c r="C412" t="s">
        <v>10</v>
      </c>
      <c r="D412" t="s">
        <v>40</v>
      </c>
      <c r="E412" t="s">
        <v>41</v>
      </c>
      <c r="F412">
        <v>12000</v>
      </c>
      <c r="G412">
        <v>30</v>
      </c>
      <c r="H412" t="s">
        <v>13</v>
      </c>
      <c r="I412" t="s">
        <v>14</v>
      </c>
      <c r="J412">
        <v>4</v>
      </c>
      <c r="K412" s="1" t="str">
        <f t="shared" si="18"/>
        <v>30-44</v>
      </c>
      <c r="L412" s="1" t="str">
        <f t="shared" si="19"/>
        <v>High</v>
      </c>
      <c r="M412" s="1" t="str">
        <f t="shared" si="20"/>
        <v>Yes</v>
      </c>
    </row>
    <row r="413" spans="1:13" x14ac:dyDescent="0.35">
      <c r="A413">
        <v>419</v>
      </c>
      <c r="B413">
        <v>50</v>
      </c>
      <c r="C413" t="s">
        <v>15</v>
      </c>
      <c r="D413" t="s">
        <v>42</v>
      </c>
      <c r="E413" t="s">
        <v>43</v>
      </c>
      <c r="F413">
        <v>6000</v>
      </c>
      <c r="G413">
        <v>31</v>
      </c>
      <c r="H413" t="s">
        <v>13</v>
      </c>
      <c r="I413" t="s">
        <v>14</v>
      </c>
      <c r="J413">
        <v>3</v>
      </c>
      <c r="K413" s="1" t="str">
        <f t="shared" si="18"/>
        <v>45-59</v>
      </c>
      <c r="L413" s="1" t="str">
        <f t="shared" si="19"/>
        <v>Medium</v>
      </c>
      <c r="M413" s="1" t="str">
        <f t="shared" si="20"/>
        <v>No</v>
      </c>
    </row>
    <row r="414" spans="1:13" x14ac:dyDescent="0.35">
      <c r="A414">
        <v>420</v>
      </c>
      <c r="B414">
        <v>60</v>
      </c>
      <c r="C414" t="s">
        <v>10</v>
      </c>
      <c r="D414" t="s">
        <v>44</v>
      </c>
      <c r="E414" t="s">
        <v>45</v>
      </c>
      <c r="F414">
        <v>4000</v>
      </c>
      <c r="G414">
        <v>32</v>
      </c>
      <c r="H414" t="s">
        <v>13</v>
      </c>
      <c r="I414" t="s">
        <v>19</v>
      </c>
      <c r="J414">
        <v>4</v>
      </c>
      <c r="K414" s="1" t="str">
        <f t="shared" si="18"/>
        <v>60-74</v>
      </c>
      <c r="L414" s="1" t="str">
        <f t="shared" si="19"/>
        <v>Medium</v>
      </c>
      <c r="M414" s="1" t="str">
        <f t="shared" si="20"/>
        <v>Yes</v>
      </c>
    </row>
    <row r="415" spans="1:13" x14ac:dyDescent="0.35">
      <c r="A415">
        <v>421</v>
      </c>
      <c r="B415">
        <v>48</v>
      </c>
      <c r="C415" t="s">
        <v>10</v>
      </c>
      <c r="D415" t="s">
        <v>11</v>
      </c>
      <c r="E415" t="s">
        <v>12</v>
      </c>
      <c r="F415">
        <v>15000</v>
      </c>
      <c r="G415">
        <v>33</v>
      </c>
      <c r="H415" t="s">
        <v>18</v>
      </c>
      <c r="I415" t="s">
        <v>14</v>
      </c>
      <c r="J415">
        <v>4</v>
      </c>
      <c r="K415" s="1" t="str">
        <f t="shared" si="18"/>
        <v>45-59</v>
      </c>
      <c r="L415" s="1" t="str">
        <f t="shared" si="19"/>
        <v>High</v>
      </c>
      <c r="M415" s="1" t="str">
        <f t="shared" si="20"/>
        <v>Yes</v>
      </c>
    </row>
    <row r="416" spans="1:13" x14ac:dyDescent="0.35">
      <c r="A416">
        <v>422</v>
      </c>
      <c r="B416">
        <v>65</v>
      </c>
      <c r="C416" t="s">
        <v>15</v>
      </c>
      <c r="D416" t="s">
        <v>16</v>
      </c>
      <c r="E416" t="s">
        <v>17</v>
      </c>
      <c r="F416">
        <v>2000</v>
      </c>
      <c r="G416">
        <v>31</v>
      </c>
      <c r="H416" t="s">
        <v>13</v>
      </c>
      <c r="I416" t="s">
        <v>19</v>
      </c>
      <c r="J416">
        <v>3</v>
      </c>
      <c r="K416" s="1" t="str">
        <f t="shared" si="18"/>
        <v>60-74</v>
      </c>
      <c r="L416" s="1" t="str">
        <f t="shared" si="19"/>
        <v>Medium</v>
      </c>
      <c r="M416" s="1" t="str">
        <f t="shared" si="20"/>
        <v>No</v>
      </c>
    </row>
    <row r="417" spans="1:13" x14ac:dyDescent="0.35">
      <c r="A417">
        <v>423</v>
      </c>
      <c r="B417">
        <v>30</v>
      </c>
      <c r="C417" t="s">
        <v>10</v>
      </c>
      <c r="D417" t="s">
        <v>20</v>
      </c>
      <c r="E417" t="s">
        <v>21</v>
      </c>
      <c r="F417">
        <v>500</v>
      </c>
      <c r="G417">
        <v>29</v>
      </c>
      <c r="H417" t="s">
        <v>13</v>
      </c>
      <c r="I417" t="s">
        <v>14</v>
      </c>
      <c r="J417">
        <v>5</v>
      </c>
      <c r="K417" s="1" t="str">
        <f t="shared" si="18"/>
        <v>30-44</v>
      </c>
      <c r="L417" s="1" t="str">
        <f t="shared" si="19"/>
        <v>Low</v>
      </c>
      <c r="M417" s="1" t="str">
        <f t="shared" si="20"/>
        <v>Yes</v>
      </c>
    </row>
    <row r="418" spans="1:13" x14ac:dyDescent="0.35">
      <c r="A418">
        <v>424</v>
      </c>
      <c r="B418">
        <v>70</v>
      </c>
      <c r="C418" t="s">
        <v>15</v>
      </c>
      <c r="D418" t="s">
        <v>22</v>
      </c>
      <c r="E418" t="s">
        <v>23</v>
      </c>
      <c r="F418">
        <v>10000</v>
      </c>
      <c r="G418">
        <v>36</v>
      </c>
      <c r="H418" t="s">
        <v>18</v>
      </c>
      <c r="I418" t="s">
        <v>19</v>
      </c>
      <c r="J418">
        <v>2</v>
      </c>
      <c r="K418" s="1" t="str">
        <f t="shared" si="18"/>
        <v>60-74</v>
      </c>
      <c r="L418" s="1" t="str">
        <f t="shared" si="19"/>
        <v>High</v>
      </c>
      <c r="M418" s="1" t="str">
        <f t="shared" si="20"/>
        <v>No</v>
      </c>
    </row>
    <row r="419" spans="1:13" x14ac:dyDescent="0.35">
      <c r="A419">
        <v>425</v>
      </c>
      <c r="B419">
        <v>55</v>
      </c>
      <c r="C419" t="s">
        <v>10</v>
      </c>
      <c r="D419" t="s">
        <v>24</v>
      </c>
      <c r="E419" t="s">
        <v>25</v>
      </c>
      <c r="F419">
        <v>25000</v>
      </c>
      <c r="G419">
        <v>38</v>
      </c>
      <c r="H419" t="s">
        <v>13</v>
      </c>
      <c r="I419" t="s">
        <v>14</v>
      </c>
      <c r="J419">
        <v>4</v>
      </c>
      <c r="K419" s="1" t="str">
        <f t="shared" si="18"/>
        <v>45-59</v>
      </c>
      <c r="L419" s="1" t="str">
        <f t="shared" si="19"/>
        <v>High</v>
      </c>
      <c r="M419" s="1" t="str">
        <f t="shared" si="20"/>
        <v>Yes</v>
      </c>
    </row>
    <row r="420" spans="1:13" x14ac:dyDescent="0.35">
      <c r="A420">
        <v>426</v>
      </c>
      <c r="B420">
        <v>68</v>
      </c>
      <c r="C420" t="s">
        <v>15</v>
      </c>
      <c r="D420" t="s">
        <v>26</v>
      </c>
      <c r="E420" t="s">
        <v>27</v>
      </c>
      <c r="F420">
        <v>1000</v>
      </c>
      <c r="G420">
        <v>30</v>
      </c>
      <c r="H420" t="s">
        <v>13</v>
      </c>
      <c r="I420" t="s">
        <v>19</v>
      </c>
      <c r="J420">
        <v>4</v>
      </c>
      <c r="K420" s="1" t="str">
        <f t="shared" si="18"/>
        <v>60-74</v>
      </c>
      <c r="L420" s="1" t="str">
        <f t="shared" si="19"/>
        <v>Low</v>
      </c>
      <c r="M420" s="1" t="str">
        <f t="shared" si="20"/>
        <v>Yes</v>
      </c>
    </row>
    <row r="421" spans="1:13" x14ac:dyDescent="0.35">
      <c r="A421">
        <v>427</v>
      </c>
      <c r="B421">
        <v>45</v>
      </c>
      <c r="C421" t="s">
        <v>10</v>
      </c>
      <c r="D421" t="s">
        <v>28</v>
      </c>
      <c r="E421" t="s">
        <v>29</v>
      </c>
      <c r="F421">
        <v>8000</v>
      </c>
      <c r="G421">
        <v>32</v>
      </c>
      <c r="H421" t="s">
        <v>13</v>
      </c>
      <c r="I421" t="s">
        <v>14</v>
      </c>
      <c r="J421">
        <v>3</v>
      </c>
      <c r="K421" s="1" t="str">
        <f t="shared" si="18"/>
        <v>45-59</v>
      </c>
      <c r="L421" s="1" t="str">
        <f t="shared" si="19"/>
        <v>Medium</v>
      </c>
      <c r="M421" s="1" t="str">
        <f t="shared" si="20"/>
        <v>No</v>
      </c>
    </row>
    <row r="422" spans="1:13" x14ac:dyDescent="0.35">
      <c r="A422">
        <v>428</v>
      </c>
      <c r="B422">
        <v>40</v>
      </c>
      <c r="C422" t="s">
        <v>15</v>
      </c>
      <c r="D422" t="s">
        <v>30</v>
      </c>
      <c r="E422" t="s">
        <v>31</v>
      </c>
      <c r="F422">
        <v>3000</v>
      </c>
      <c r="G422">
        <v>34</v>
      </c>
      <c r="H422" t="s">
        <v>13</v>
      </c>
      <c r="I422" t="s">
        <v>14</v>
      </c>
      <c r="J422">
        <v>4</v>
      </c>
      <c r="K422" s="1" t="str">
        <f t="shared" si="18"/>
        <v>30-44</v>
      </c>
      <c r="L422" s="1" t="str">
        <f t="shared" si="19"/>
        <v>Medium</v>
      </c>
      <c r="M422" s="1" t="str">
        <f t="shared" si="20"/>
        <v>Yes</v>
      </c>
    </row>
    <row r="423" spans="1:13" x14ac:dyDescent="0.35">
      <c r="A423">
        <v>429</v>
      </c>
      <c r="B423">
        <v>78</v>
      </c>
      <c r="C423" t="s">
        <v>10</v>
      </c>
      <c r="D423" t="s">
        <v>32</v>
      </c>
      <c r="E423" t="s">
        <v>33</v>
      </c>
      <c r="F423">
        <v>18000</v>
      </c>
      <c r="G423">
        <v>36</v>
      </c>
      <c r="H423" t="s">
        <v>18</v>
      </c>
      <c r="I423" t="s">
        <v>19</v>
      </c>
      <c r="J423">
        <v>2</v>
      </c>
      <c r="K423" s="1" t="str">
        <f t="shared" si="18"/>
        <v>75+</v>
      </c>
      <c r="L423" s="1" t="str">
        <f t="shared" si="19"/>
        <v>High</v>
      </c>
      <c r="M423" s="1" t="str">
        <f t="shared" si="20"/>
        <v>No</v>
      </c>
    </row>
    <row r="424" spans="1:13" x14ac:dyDescent="0.35">
      <c r="A424">
        <v>430</v>
      </c>
      <c r="B424">
        <v>25</v>
      </c>
      <c r="C424" t="s">
        <v>15</v>
      </c>
      <c r="D424" t="s">
        <v>34</v>
      </c>
      <c r="E424" t="s">
        <v>35</v>
      </c>
      <c r="F424">
        <v>100</v>
      </c>
      <c r="G424">
        <v>29</v>
      </c>
      <c r="H424" t="s">
        <v>13</v>
      </c>
      <c r="I424" t="s">
        <v>14</v>
      </c>
      <c r="J424">
        <v>5</v>
      </c>
      <c r="K424" s="1" t="str">
        <f t="shared" si="18"/>
        <v>18-29</v>
      </c>
      <c r="L424" s="1" t="str">
        <f t="shared" si="19"/>
        <v>Low</v>
      </c>
      <c r="M424" s="1" t="str">
        <f t="shared" si="20"/>
        <v>Yes</v>
      </c>
    </row>
    <row r="425" spans="1:13" x14ac:dyDescent="0.35">
      <c r="A425">
        <v>431</v>
      </c>
      <c r="B425">
        <v>52</v>
      </c>
      <c r="C425" t="s">
        <v>10</v>
      </c>
      <c r="D425" t="s">
        <v>36</v>
      </c>
      <c r="E425" t="s">
        <v>37</v>
      </c>
      <c r="F425">
        <v>800</v>
      </c>
      <c r="G425">
        <v>30</v>
      </c>
      <c r="H425" t="s">
        <v>13</v>
      </c>
      <c r="I425" t="s">
        <v>19</v>
      </c>
      <c r="J425">
        <v>4</v>
      </c>
      <c r="K425" s="1" t="str">
        <f t="shared" si="18"/>
        <v>45-59</v>
      </c>
      <c r="L425" s="1" t="str">
        <f t="shared" si="19"/>
        <v>Low</v>
      </c>
      <c r="M425" s="1" t="str">
        <f t="shared" si="20"/>
        <v>Yes</v>
      </c>
    </row>
    <row r="426" spans="1:13" x14ac:dyDescent="0.35">
      <c r="A426">
        <v>432</v>
      </c>
      <c r="B426">
        <v>58</v>
      </c>
      <c r="C426" t="s">
        <v>15</v>
      </c>
      <c r="D426" t="s">
        <v>38</v>
      </c>
      <c r="E426" t="s">
        <v>39</v>
      </c>
      <c r="F426">
        <v>20000</v>
      </c>
      <c r="G426">
        <v>37</v>
      </c>
      <c r="H426" t="s">
        <v>13</v>
      </c>
      <c r="I426" t="s">
        <v>14</v>
      </c>
      <c r="J426">
        <v>3</v>
      </c>
      <c r="K426" s="1" t="str">
        <f t="shared" si="18"/>
        <v>45-59</v>
      </c>
      <c r="L426" s="1" t="str">
        <f t="shared" si="19"/>
        <v>High</v>
      </c>
      <c r="M426" s="1" t="str">
        <f t="shared" si="20"/>
        <v>No</v>
      </c>
    </row>
    <row r="427" spans="1:13" x14ac:dyDescent="0.35">
      <c r="A427">
        <v>433</v>
      </c>
      <c r="B427">
        <v>32</v>
      </c>
      <c r="C427" t="s">
        <v>10</v>
      </c>
      <c r="D427" t="s">
        <v>40</v>
      </c>
      <c r="E427" t="s">
        <v>41</v>
      </c>
      <c r="F427">
        <v>12000</v>
      </c>
      <c r="G427">
        <v>31</v>
      </c>
      <c r="H427" t="s">
        <v>13</v>
      </c>
      <c r="I427" t="s">
        <v>14</v>
      </c>
      <c r="J427">
        <v>4</v>
      </c>
      <c r="K427" s="1" t="str">
        <f t="shared" si="18"/>
        <v>30-44</v>
      </c>
      <c r="L427" s="1" t="str">
        <f t="shared" si="19"/>
        <v>High</v>
      </c>
      <c r="M427" s="1" t="str">
        <f t="shared" si="20"/>
        <v>Yes</v>
      </c>
    </row>
    <row r="428" spans="1:13" x14ac:dyDescent="0.35">
      <c r="A428">
        <v>434</v>
      </c>
      <c r="B428">
        <v>55</v>
      </c>
      <c r="C428" t="s">
        <v>15</v>
      </c>
      <c r="D428" t="s">
        <v>42</v>
      </c>
      <c r="E428" t="s">
        <v>43</v>
      </c>
      <c r="F428">
        <v>6000</v>
      </c>
      <c r="G428">
        <v>32</v>
      </c>
      <c r="H428" t="s">
        <v>13</v>
      </c>
      <c r="I428" t="s">
        <v>14</v>
      </c>
      <c r="J428">
        <v>3</v>
      </c>
      <c r="K428" s="1" t="str">
        <f t="shared" si="18"/>
        <v>45-59</v>
      </c>
      <c r="L428" s="1" t="str">
        <f t="shared" si="19"/>
        <v>Medium</v>
      </c>
      <c r="M428" s="1" t="str">
        <f t="shared" si="20"/>
        <v>No</v>
      </c>
    </row>
    <row r="429" spans="1:13" x14ac:dyDescent="0.35">
      <c r="A429">
        <v>435</v>
      </c>
      <c r="B429">
        <v>65</v>
      </c>
      <c r="C429" t="s">
        <v>10</v>
      </c>
      <c r="D429" t="s">
        <v>44</v>
      </c>
      <c r="E429" t="s">
        <v>45</v>
      </c>
      <c r="F429">
        <v>4000</v>
      </c>
      <c r="G429">
        <v>33</v>
      </c>
      <c r="H429" t="s">
        <v>13</v>
      </c>
      <c r="I429" t="s">
        <v>19</v>
      </c>
      <c r="J429">
        <v>4</v>
      </c>
      <c r="K429" s="1" t="str">
        <f t="shared" si="18"/>
        <v>60-74</v>
      </c>
      <c r="L429" s="1" t="str">
        <f t="shared" si="19"/>
        <v>Medium</v>
      </c>
      <c r="M429" s="1" t="str">
        <f t="shared" si="20"/>
        <v>Yes</v>
      </c>
    </row>
    <row r="430" spans="1:13" x14ac:dyDescent="0.35">
      <c r="A430">
        <v>436</v>
      </c>
      <c r="B430">
        <v>55</v>
      </c>
      <c r="C430" t="s">
        <v>10</v>
      </c>
      <c r="D430" t="s">
        <v>11</v>
      </c>
      <c r="E430" t="s">
        <v>12</v>
      </c>
      <c r="F430">
        <v>15000</v>
      </c>
      <c r="G430">
        <v>34</v>
      </c>
      <c r="H430" t="s">
        <v>18</v>
      </c>
      <c r="I430" t="s">
        <v>14</v>
      </c>
      <c r="J430">
        <v>3</v>
      </c>
      <c r="K430" s="1" t="str">
        <f t="shared" si="18"/>
        <v>45-59</v>
      </c>
      <c r="L430" s="1" t="str">
        <f t="shared" si="19"/>
        <v>High</v>
      </c>
      <c r="M430" s="1" t="str">
        <f t="shared" si="20"/>
        <v>No</v>
      </c>
    </row>
    <row r="431" spans="1:13" x14ac:dyDescent="0.35">
      <c r="A431">
        <v>437</v>
      </c>
      <c r="B431">
        <v>62</v>
      </c>
      <c r="C431" t="s">
        <v>15</v>
      </c>
      <c r="D431" t="s">
        <v>16</v>
      </c>
      <c r="E431" t="s">
        <v>17</v>
      </c>
      <c r="F431">
        <v>2000</v>
      </c>
      <c r="G431">
        <v>32</v>
      </c>
      <c r="H431" t="s">
        <v>13</v>
      </c>
      <c r="I431" t="s">
        <v>19</v>
      </c>
      <c r="J431">
        <v>4</v>
      </c>
      <c r="K431" s="1" t="str">
        <f t="shared" si="18"/>
        <v>60-74</v>
      </c>
      <c r="L431" s="1" t="str">
        <f t="shared" si="19"/>
        <v>Medium</v>
      </c>
      <c r="M431" s="1" t="str">
        <f t="shared" si="20"/>
        <v>Yes</v>
      </c>
    </row>
    <row r="432" spans="1:13" x14ac:dyDescent="0.35">
      <c r="A432">
        <v>438</v>
      </c>
      <c r="B432">
        <v>35</v>
      </c>
      <c r="C432" t="s">
        <v>10</v>
      </c>
      <c r="D432" t="s">
        <v>20</v>
      </c>
      <c r="E432" t="s">
        <v>21</v>
      </c>
      <c r="F432">
        <v>500</v>
      </c>
      <c r="G432">
        <v>30</v>
      </c>
      <c r="H432" t="s">
        <v>18</v>
      </c>
      <c r="I432" t="s">
        <v>14</v>
      </c>
      <c r="J432">
        <v>5</v>
      </c>
      <c r="K432" s="1" t="str">
        <f t="shared" si="18"/>
        <v>30-44</v>
      </c>
      <c r="L432" s="1" t="str">
        <f t="shared" si="19"/>
        <v>Low</v>
      </c>
      <c r="M432" s="1" t="str">
        <f t="shared" si="20"/>
        <v>Yes</v>
      </c>
    </row>
    <row r="433" spans="1:13" x14ac:dyDescent="0.35">
      <c r="A433">
        <v>439</v>
      </c>
      <c r="B433">
        <v>78</v>
      </c>
      <c r="C433" t="s">
        <v>15</v>
      </c>
      <c r="D433" t="s">
        <v>22</v>
      </c>
      <c r="E433" t="s">
        <v>23</v>
      </c>
      <c r="F433">
        <v>10000</v>
      </c>
      <c r="G433">
        <v>37</v>
      </c>
      <c r="H433" t="s">
        <v>13</v>
      </c>
      <c r="I433" t="s">
        <v>19</v>
      </c>
      <c r="J433">
        <v>2</v>
      </c>
      <c r="K433" s="1" t="str">
        <f t="shared" si="18"/>
        <v>75+</v>
      </c>
      <c r="L433" s="1" t="str">
        <f t="shared" si="19"/>
        <v>High</v>
      </c>
      <c r="M433" s="1" t="str">
        <f t="shared" si="20"/>
        <v>No</v>
      </c>
    </row>
    <row r="434" spans="1:13" x14ac:dyDescent="0.35">
      <c r="A434">
        <v>440</v>
      </c>
      <c r="B434">
        <v>53</v>
      </c>
      <c r="C434" t="s">
        <v>10</v>
      </c>
      <c r="D434" t="s">
        <v>24</v>
      </c>
      <c r="E434" t="s">
        <v>25</v>
      </c>
      <c r="F434">
        <v>25000</v>
      </c>
      <c r="G434">
        <v>39</v>
      </c>
      <c r="H434" t="s">
        <v>18</v>
      </c>
      <c r="I434" t="s">
        <v>14</v>
      </c>
      <c r="J434">
        <v>4</v>
      </c>
      <c r="K434" s="1" t="str">
        <f t="shared" si="18"/>
        <v>45-59</v>
      </c>
      <c r="L434" s="1" t="str">
        <f t="shared" si="19"/>
        <v>High</v>
      </c>
      <c r="M434" s="1" t="str">
        <f t="shared" si="20"/>
        <v>Yes</v>
      </c>
    </row>
    <row r="435" spans="1:13" x14ac:dyDescent="0.35">
      <c r="A435">
        <v>441</v>
      </c>
      <c r="B435">
        <v>72</v>
      </c>
      <c r="C435" t="s">
        <v>15</v>
      </c>
      <c r="D435" t="s">
        <v>26</v>
      </c>
      <c r="E435" t="s">
        <v>27</v>
      </c>
      <c r="F435">
        <v>1000</v>
      </c>
      <c r="G435">
        <v>31</v>
      </c>
      <c r="H435" t="s">
        <v>13</v>
      </c>
      <c r="I435" t="s">
        <v>19</v>
      </c>
      <c r="J435">
        <v>4</v>
      </c>
      <c r="K435" s="1" t="str">
        <f t="shared" si="18"/>
        <v>60-74</v>
      </c>
      <c r="L435" s="1" t="str">
        <f t="shared" si="19"/>
        <v>Low</v>
      </c>
      <c r="M435" s="1" t="str">
        <f t="shared" si="20"/>
        <v>Yes</v>
      </c>
    </row>
    <row r="436" spans="1:13" x14ac:dyDescent="0.35">
      <c r="A436">
        <v>442</v>
      </c>
      <c r="B436">
        <v>60</v>
      </c>
      <c r="C436" t="s">
        <v>10</v>
      </c>
      <c r="D436" t="s">
        <v>28</v>
      </c>
      <c r="E436" t="s">
        <v>29</v>
      </c>
      <c r="F436">
        <v>8000</v>
      </c>
      <c r="G436">
        <v>33</v>
      </c>
      <c r="H436" t="s">
        <v>18</v>
      </c>
      <c r="I436" t="s">
        <v>14</v>
      </c>
      <c r="J436">
        <v>3</v>
      </c>
      <c r="K436" s="1" t="str">
        <f t="shared" si="18"/>
        <v>60-74</v>
      </c>
      <c r="L436" s="1" t="str">
        <f t="shared" si="19"/>
        <v>Medium</v>
      </c>
      <c r="M436" s="1" t="str">
        <f t="shared" si="20"/>
        <v>No</v>
      </c>
    </row>
    <row r="437" spans="1:13" x14ac:dyDescent="0.35">
      <c r="A437">
        <v>443</v>
      </c>
      <c r="B437">
        <v>45</v>
      </c>
      <c r="C437" t="s">
        <v>15</v>
      </c>
      <c r="D437" t="s">
        <v>30</v>
      </c>
      <c r="E437" t="s">
        <v>31</v>
      </c>
      <c r="F437">
        <v>3000</v>
      </c>
      <c r="G437">
        <v>35</v>
      </c>
      <c r="H437" t="s">
        <v>13</v>
      </c>
      <c r="I437" t="s">
        <v>14</v>
      </c>
      <c r="J437">
        <v>4</v>
      </c>
      <c r="K437" s="1" t="str">
        <f t="shared" si="18"/>
        <v>45-59</v>
      </c>
      <c r="L437" s="1" t="str">
        <f t="shared" si="19"/>
        <v>Medium</v>
      </c>
      <c r="M437" s="1" t="str">
        <f t="shared" si="20"/>
        <v>Yes</v>
      </c>
    </row>
    <row r="438" spans="1:13" x14ac:dyDescent="0.35">
      <c r="A438">
        <v>444</v>
      </c>
      <c r="B438">
        <v>75</v>
      </c>
      <c r="C438" t="s">
        <v>10</v>
      </c>
      <c r="D438" t="s">
        <v>32</v>
      </c>
      <c r="E438" t="s">
        <v>33</v>
      </c>
      <c r="F438">
        <v>18000</v>
      </c>
      <c r="G438">
        <v>37</v>
      </c>
      <c r="H438" t="s">
        <v>18</v>
      </c>
      <c r="I438" t="s">
        <v>19</v>
      </c>
      <c r="J438">
        <v>2</v>
      </c>
      <c r="K438" s="1" t="str">
        <f t="shared" si="18"/>
        <v>75+</v>
      </c>
      <c r="L438" s="1" t="str">
        <f t="shared" si="19"/>
        <v>High</v>
      </c>
      <c r="M438" s="1" t="str">
        <f t="shared" si="20"/>
        <v>No</v>
      </c>
    </row>
    <row r="439" spans="1:13" x14ac:dyDescent="0.35">
      <c r="A439">
        <v>445</v>
      </c>
      <c r="B439">
        <v>28</v>
      </c>
      <c r="C439" t="s">
        <v>15</v>
      </c>
      <c r="D439" t="s">
        <v>34</v>
      </c>
      <c r="E439" t="s">
        <v>35</v>
      </c>
      <c r="F439">
        <v>100</v>
      </c>
      <c r="G439">
        <v>30</v>
      </c>
      <c r="H439" t="s">
        <v>13</v>
      </c>
      <c r="I439" t="s">
        <v>14</v>
      </c>
      <c r="J439">
        <v>5</v>
      </c>
      <c r="K439" s="1" t="str">
        <f t="shared" si="18"/>
        <v>18-29</v>
      </c>
      <c r="L439" s="1" t="str">
        <f t="shared" si="19"/>
        <v>Low</v>
      </c>
      <c r="M439" s="1" t="str">
        <f t="shared" si="20"/>
        <v>Yes</v>
      </c>
    </row>
    <row r="440" spans="1:13" x14ac:dyDescent="0.35">
      <c r="A440">
        <v>446</v>
      </c>
      <c r="B440">
        <v>52</v>
      </c>
      <c r="C440" t="s">
        <v>10</v>
      </c>
      <c r="D440" t="s">
        <v>36</v>
      </c>
      <c r="E440" t="s">
        <v>37</v>
      </c>
      <c r="F440">
        <v>800</v>
      </c>
      <c r="G440">
        <v>31</v>
      </c>
      <c r="H440" t="s">
        <v>13</v>
      </c>
      <c r="I440" t="s">
        <v>19</v>
      </c>
      <c r="J440">
        <v>4</v>
      </c>
      <c r="K440" s="1" t="str">
        <f t="shared" si="18"/>
        <v>45-59</v>
      </c>
      <c r="L440" s="1" t="str">
        <f t="shared" si="19"/>
        <v>Low</v>
      </c>
      <c r="M440" s="1" t="str">
        <f t="shared" si="20"/>
        <v>Yes</v>
      </c>
    </row>
    <row r="441" spans="1:13" x14ac:dyDescent="0.35">
      <c r="A441">
        <v>447</v>
      </c>
      <c r="B441">
        <v>67</v>
      </c>
      <c r="C441" t="s">
        <v>15</v>
      </c>
      <c r="D441" t="s">
        <v>38</v>
      </c>
      <c r="E441" t="s">
        <v>39</v>
      </c>
      <c r="F441">
        <v>20000</v>
      </c>
      <c r="G441">
        <v>38</v>
      </c>
      <c r="H441" t="s">
        <v>13</v>
      </c>
      <c r="I441" t="s">
        <v>14</v>
      </c>
      <c r="J441">
        <v>3</v>
      </c>
      <c r="K441" s="1" t="str">
        <f t="shared" si="18"/>
        <v>60-74</v>
      </c>
      <c r="L441" s="1" t="str">
        <f t="shared" si="19"/>
        <v>High</v>
      </c>
      <c r="M441" s="1" t="str">
        <f t="shared" si="20"/>
        <v>No</v>
      </c>
    </row>
    <row r="442" spans="1:13" x14ac:dyDescent="0.35">
      <c r="A442">
        <v>448</v>
      </c>
      <c r="B442">
        <v>35</v>
      </c>
      <c r="C442" t="s">
        <v>10</v>
      </c>
      <c r="D442" t="s">
        <v>40</v>
      </c>
      <c r="E442" t="s">
        <v>41</v>
      </c>
      <c r="F442">
        <v>12000</v>
      </c>
      <c r="G442">
        <v>32</v>
      </c>
      <c r="H442" t="s">
        <v>13</v>
      </c>
      <c r="I442" t="s">
        <v>14</v>
      </c>
      <c r="J442">
        <v>4</v>
      </c>
      <c r="K442" s="1" t="str">
        <f t="shared" si="18"/>
        <v>30-44</v>
      </c>
      <c r="L442" s="1" t="str">
        <f t="shared" si="19"/>
        <v>High</v>
      </c>
      <c r="M442" s="1" t="str">
        <f t="shared" si="20"/>
        <v>Yes</v>
      </c>
    </row>
    <row r="443" spans="1:13" x14ac:dyDescent="0.35">
      <c r="A443">
        <v>449</v>
      </c>
      <c r="B443">
        <v>50</v>
      </c>
      <c r="C443" t="s">
        <v>15</v>
      </c>
      <c r="D443" t="s">
        <v>42</v>
      </c>
      <c r="E443" t="s">
        <v>43</v>
      </c>
      <c r="F443">
        <v>6000</v>
      </c>
      <c r="G443">
        <v>33</v>
      </c>
      <c r="H443" t="s">
        <v>13</v>
      </c>
      <c r="I443" t="s">
        <v>14</v>
      </c>
      <c r="J443">
        <v>3</v>
      </c>
      <c r="K443" s="1" t="str">
        <f t="shared" si="18"/>
        <v>45-59</v>
      </c>
      <c r="L443" s="1" t="str">
        <f t="shared" si="19"/>
        <v>Medium</v>
      </c>
      <c r="M443" s="1" t="str">
        <f t="shared" si="20"/>
        <v>No</v>
      </c>
    </row>
    <row r="444" spans="1:13" x14ac:dyDescent="0.35">
      <c r="A444">
        <v>450</v>
      </c>
      <c r="B444">
        <v>60</v>
      </c>
      <c r="C444" t="s">
        <v>10</v>
      </c>
      <c r="D444" t="s">
        <v>44</v>
      </c>
      <c r="E444" t="s">
        <v>45</v>
      </c>
      <c r="F444">
        <v>4000</v>
      </c>
      <c r="G444">
        <v>34</v>
      </c>
      <c r="H444" t="s">
        <v>13</v>
      </c>
      <c r="I444" t="s">
        <v>19</v>
      </c>
      <c r="J444">
        <v>4</v>
      </c>
      <c r="K444" s="1" t="str">
        <f t="shared" si="18"/>
        <v>60-74</v>
      </c>
      <c r="L444" s="1" t="str">
        <f t="shared" si="19"/>
        <v>Medium</v>
      </c>
      <c r="M444" s="1" t="str">
        <f t="shared" si="20"/>
        <v>Yes</v>
      </c>
    </row>
    <row r="445" spans="1:13" x14ac:dyDescent="0.35">
      <c r="A445">
        <v>451</v>
      </c>
      <c r="B445">
        <v>48</v>
      </c>
      <c r="C445" t="s">
        <v>10</v>
      </c>
      <c r="D445" t="s">
        <v>11</v>
      </c>
      <c r="E445" t="s">
        <v>12</v>
      </c>
      <c r="F445">
        <v>15000</v>
      </c>
      <c r="G445">
        <v>35</v>
      </c>
      <c r="H445" t="s">
        <v>18</v>
      </c>
      <c r="I445" t="s">
        <v>14</v>
      </c>
      <c r="J445">
        <v>4</v>
      </c>
      <c r="K445" s="1" t="str">
        <f t="shared" si="18"/>
        <v>45-59</v>
      </c>
      <c r="L445" s="1" t="str">
        <f t="shared" si="19"/>
        <v>High</v>
      </c>
      <c r="M445" s="1" t="str">
        <f t="shared" si="20"/>
        <v>Yes</v>
      </c>
    </row>
    <row r="446" spans="1:13" x14ac:dyDescent="0.35">
      <c r="A446">
        <v>452</v>
      </c>
      <c r="B446">
        <v>65</v>
      </c>
      <c r="C446" t="s">
        <v>15</v>
      </c>
      <c r="D446" t="s">
        <v>16</v>
      </c>
      <c r="E446" t="s">
        <v>17</v>
      </c>
      <c r="F446">
        <v>2000</v>
      </c>
      <c r="G446">
        <v>33</v>
      </c>
      <c r="H446" t="s">
        <v>13</v>
      </c>
      <c r="I446" t="s">
        <v>19</v>
      </c>
      <c r="J446">
        <v>3</v>
      </c>
      <c r="K446" s="1" t="str">
        <f t="shared" si="18"/>
        <v>60-74</v>
      </c>
      <c r="L446" s="1" t="str">
        <f t="shared" si="19"/>
        <v>Medium</v>
      </c>
      <c r="M446" s="1" t="str">
        <f t="shared" si="20"/>
        <v>No</v>
      </c>
    </row>
    <row r="447" spans="1:13" x14ac:dyDescent="0.35">
      <c r="A447">
        <v>453</v>
      </c>
      <c r="B447">
        <v>30</v>
      </c>
      <c r="C447" t="s">
        <v>10</v>
      </c>
      <c r="D447" t="s">
        <v>20</v>
      </c>
      <c r="E447" t="s">
        <v>21</v>
      </c>
      <c r="F447">
        <v>500</v>
      </c>
      <c r="G447">
        <v>31</v>
      </c>
      <c r="H447" t="s">
        <v>13</v>
      </c>
      <c r="I447" t="s">
        <v>14</v>
      </c>
      <c r="J447">
        <v>5</v>
      </c>
      <c r="K447" s="1" t="str">
        <f t="shared" si="18"/>
        <v>30-44</v>
      </c>
      <c r="L447" s="1" t="str">
        <f t="shared" si="19"/>
        <v>Low</v>
      </c>
      <c r="M447" s="1" t="str">
        <f t="shared" si="20"/>
        <v>Yes</v>
      </c>
    </row>
    <row r="448" spans="1:13" x14ac:dyDescent="0.35">
      <c r="A448">
        <v>454</v>
      </c>
      <c r="B448">
        <v>70</v>
      </c>
      <c r="C448" t="s">
        <v>15</v>
      </c>
      <c r="D448" t="s">
        <v>22</v>
      </c>
      <c r="E448" t="s">
        <v>23</v>
      </c>
      <c r="F448">
        <v>10000</v>
      </c>
      <c r="G448">
        <v>38</v>
      </c>
      <c r="H448" t="s">
        <v>18</v>
      </c>
      <c r="I448" t="s">
        <v>19</v>
      </c>
      <c r="J448">
        <v>2</v>
      </c>
      <c r="K448" s="1" t="str">
        <f t="shared" si="18"/>
        <v>60-74</v>
      </c>
      <c r="L448" s="1" t="str">
        <f t="shared" si="19"/>
        <v>High</v>
      </c>
      <c r="M448" s="1" t="str">
        <f t="shared" si="20"/>
        <v>No</v>
      </c>
    </row>
    <row r="449" spans="1:13" x14ac:dyDescent="0.35">
      <c r="A449">
        <v>455</v>
      </c>
      <c r="B449">
        <v>55</v>
      </c>
      <c r="C449" t="s">
        <v>10</v>
      </c>
      <c r="D449" t="s">
        <v>24</v>
      </c>
      <c r="E449" t="s">
        <v>25</v>
      </c>
      <c r="F449">
        <v>25000</v>
      </c>
      <c r="G449">
        <v>40</v>
      </c>
      <c r="H449" t="s">
        <v>13</v>
      </c>
      <c r="I449" t="s">
        <v>14</v>
      </c>
      <c r="J449">
        <v>4</v>
      </c>
      <c r="K449" s="1" t="str">
        <f t="shared" si="18"/>
        <v>45-59</v>
      </c>
      <c r="L449" s="1" t="str">
        <f t="shared" si="19"/>
        <v>High</v>
      </c>
      <c r="M449" s="1" t="str">
        <f t="shared" si="20"/>
        <v>Yes</v>
      </c>
    </row>
    <row r="450" spans="1:13" x14ac:dyDescent="0.35">
      <c r="A450">
        <v>456</v>
      </c>
      <c r="B450">
        <v>68</v>
      </c>
      <c r="C450" t="s">
        <v>15</v>
      </c>
      <c r="D450" t="s">
        <v>26</v>
      </c>
      <c r="E450" t="s">
        <v>27</v>
      </c>
      <c r="F450">
        <v>1000</v>
      </c>
      <c r="G450">
        <v>32</v>
      </c>
      <c r="H450" t="s">
        <v>13</v>
      </c>
      <c r="I450" t="s">
        <v>19</v>
      </c>
      <c r="J450">
        <v>4</v>
      </c>
      <c r="K450" s="1" t="str">
        <f t="shared" si="18"/>
        <v>60-74</v>
      </c>
      <c r="L450" s="1" t="str">
        <f t="shared" si="19"/>
        <v>Low</v>
      </c>
      <c r="M450" s="1" t="str">
        <f t="shared" si="20"/>
        <v>Yes</v>
      </c>
    </row>
    <row r="451" spans="1:13" x14ac:dyDescent="0.35">
      <c r="A451">
        <v>457</v>
      </c>
      <c r="B451">
        <v>45</v>
      </c>
      <c r="C451" t="s">
        <v>10</v>
      </c>
      <c r="D451" t="s">
        <v>28</v>
      </c>
      <c r="E451" t="s">
        <v>29</v>
      </c>
      <c r="F451">
        <v>8000</v>
      </c>
      <c r="G451">
        <v>34</v>
      </c>
      <c r="H451" t="s">
        <v>13</v>
      </c>
      <c r="I451" t="s">
        <v>14</v>
      </c>
      <c r="J451">
        <v>3</v>
      </c>
      <c r="K451" s="1" t="str">
        <f t="shared" ref="K451:K514" si="21">IF(B451&lt;30,"18-29",IF(B451&lt;45,"30-44",IF(B451&lt;60,"45-59",IF(B451&lt;75,"60-74","75+"))))</f>
        <v>45-59</v>
      </c>
      <c r="L451" s="1" t="str">
        <f t="shared" ref="L451:L514" si="22">IF(F451&lt;=1000,"Low",IF(F451&lt;=8000,"Medium","High"))</f>
        <v>Medium</v>
      </c>
      <c r="M451" s="1" t="str">
        <f t="shared" ref="M451:M514" si="23">IF(J451&gt;=4,"Yes","No")</f>
        <v>No</v>
      </c>
    </row>
    <row r="452" spans="1:13" x14ac:dyDescent="0.35">
      <c r="A452">
        <v>458</v>
      </c>
      <c r="B452">
        <v>40</v>
      </c>
      <c r="C452" t="s">
        <v>15</v>
      </c>
      <c r="D452" t="s">
        <v>30</v>
      </c>
      <c r="E452" t="s">
        <v>31</v>
      </c>
      <c r="F452">
        <v>3000</v>
      </c>
      <c r="G452">
        <v>36</v>
      </c>
      <c r="H452" t="s">
        <v>13</v>
      </c>
      <c r="I452" t="s">
        <v>14</v>
      </c>
      <c r="J452">
        <v>4</v>
      </c>
      <c r="K452" s="1" t="str">
        <f t="shared" si="21"/>
        <v>30-44</v>
      </c>
      <c r="L452" s="1" t="str">
        <f t="shared" si="22"/>
        <v>Medium</v>
      </c>
      <c r="M452" s="1" t="str">
        <f t="shared" si="23"/>
        <v>Yes</v>
      </c>
    </row>
    <row r="453" spans="1:13" x14ac:dyDescent="0.35">
      <c r="A453">
        <v>459</v>
      </c>
      <c r="B453">
        <v>78</v>
      </c>
      <c r="C453" t="s">
        <v>10</v>
      </c>
      <c r="D453" t="s">
        <v>32</v>
      </c>
      <c r="E453" t="s">
        <v>33</v>
      </c>
      <c r="F453">
        <v>18000</v>
      </c>
      <c r="G453">
        <v>38</v>
      </c>
      <c r="H453" t="s">
        <v>18</v>
      </c>
      <c r="I453" t="s">
        <v>19</v>
      </c>
      <c r="J453">
        <v>2</v>
      </c>
      <c r="K453" s="1" t="str">
        <f t="shared" si="21"/>
        <v>75+</v>
      </c>
      <c r="L453" s="1" t="str">
        <f t="shared" si="22"/>
        <v>High</v>
      </c>
      <c r="M453" s="1" t="str">
        <f t="shared" si="23"/>
        <v>No</v>
      </c>
    </row>
    <row r="454" spans="1:13" x14ac:dyDescent="0.35">
      <c r="A454">
        <v>460</v>
      </c>
      <c r="B454">
        <v>25</v>
      </c>
      <c r="C454" t="s">
        <v>15</v>
      </c>
      <c r="D454" t="s">
        <v>34</v>
      </c>
      <c r="E454" t="s">
        <v>35</v>
      </c>
      <c r="F454">
        <v>100</v>
      </c>
      <c r="G454">
        <v>31</v>
      </c>
      <c r="H454" t="s">
        <v>13</v>
      </c>
      <c r="I454" t="s">
        <v>14</v>
      </c>
      <c r="J454">
        <v>5</v>
      </c>
      <c r="K454" s="1" t="str">
        <f t="shared" si="21"/>
        <v>18-29</v>
      </c>
      <c r="L454" s="1" t="str">
        <f t="shared" si="22"/>
        <v>Low</v>
      </c>
      <c r="M454" s="1" t="str">
        <f t="shared" si="23"/>
        <v>Yes</v>
      </c>
    </row>
    <row r="455" spans="1:13" x14ac:dyDescent="0.35">
      <c r="A455">
        <v>461</v>
      </c>
      <c r="B455">
        <v>52</v>
      </c>
      <c r="C455" t="s">
        <v>10</v>
      </c>
      <c r="D455" t="s">
        <v>36</v>
      </c>
      <c r="E455" t="s">
        <v>37</v>
      </c>
      <c r="F455">
        <v>800</v>
      </c>
      <c r="G455">
        <v>32</v>
      </c>
      <c r="H455" t="s">
        <v>13</v>
      </c>
      <c r="I455" t="s">
        <v>19</v>
      </c>
      <c r="J455">
        <v>4</v>
      </c>
      <c r="K455" s="1" t="str">
        <f t="shared" si="21"/>
        <v>45-59</v>
      </c>
      <c r="L455" s="1" t="str">
        <f t="shared" si="22"/>
        <v>Low</v>
      </c>
      <c r="M455" s="1" t="str">
        <f t="shared" si="23"/>
        <v>Yes</v>
      </c>
    </row>
    <row r="456" spans="1:13" x14ac:dyDescent="0.35">
      <c r="A456">
        <v>462</v>
      </c>
      <c r="B456">
        <v>58</v>
      </c>
      <c r="C456" t="s">
        <v>15</v>
      </c>
      <c r="D456" t="s">
        <v>38</v>
      </c>
      <c r="E456" t="s">
        <v>39</v>
      </c>
      <c r="F456">
        <v>20000</v>
      </c>
      <c r="G456">
        <v>39</v>
      </c>
      <c r="H456" t="s">
        <v>13</v>
      </c>
      <c r="I456" t="s">
        <v>14</v>
      </c>
      <c r="J456">
        <v>3</v>
      </c>
      <c r="K456" s="1" t="str">
        <f t="shared" si="21"/>
        <v>45-59</v>
      </c>
      <c r="L456" s="1" t="str">
        <f t="shared" si="22"/>
        <v>High</v>
      </c>
      <c r="M456" s="1" t="str">
        <f t="shared" si="23"/>
        <v>No</v>
      </c>
    </row>
    <row r="457" spans="1:13" x14ac:dyDescent="0.35">
      <c r="A457">
        <v>463</v>
      </c>
      <c r="B457">
        <v>32</v>
      </c>
      <c r="C457" t="s">
        <v>10</v>
      </c>
      <c r="D457" t="s">
        <v>40</v>
      </c>
      <c r="E457" t="s">
        <v>41</v>
      </c>
      <c r="F457">
        <v>12000</v>
      </c>
      <c r="G457">
        <v>33</v>
      </c>
      <c r="H457" t="s">
        <v>13</v>
      </c>
      <c r="I457" t="s">
        <v>14</v>
      </c>
      <c r="J457">
        <v>4</v>
      </c>
      <c r="K457" s="1" t="str">
        <f t="shared" si="21"/>
        <v>30-44</v>
      </c>
      <c r="L457" s="1" t="str">
        <f t="shared" si="22"/>
        <v>High</v>
      </c>
      <c r="M457" s="1" t="str">
        <f t="shared" si="23"/>
        <v>Yes</v>
      </c>
    </row>
    <row r="458" spans="1:13" x14ac:dyDescent="0.35">
      <c r="A458">
        <v>464</v>
      </c>
      <c r="B458">
        <v>55</v>
      </c>
      <c r="C458" t="s">
        <v>15</v>
      </c>
      <c r="D458" t="s">
        <v>42</v>
      </c>
      <c r="E458" t="s">
        <v>43</v>
      </c>
      <c r="F458">
        <v>6000</v>
      </c>
      <c r="G458">
        <v>34</v>
      </c>
      <c r="H458" t="s">
        <v>13</v>
      </c>
      <c r="I458" t="s">
        <v>14</v>
      </c>
      <c r="J458">
        <v>3</v>
      </c>
      <c r="K458" s="1" t="str">
        <f t="shared" si="21"/>
        <v>45-59</v>
      </c>
      <c r="L458" s="1" t="str">
        <f t="shared" si="22"/>
        <v>Medium</v>
      </c>
      <c r="M458" s="1" t="str">
        <f t="shared" si="23"/>
        <v>No</v>
      </c>
    </row>
    <row r="459" spans="1:13" x14ac:dyDescent="0.35">
      <c r="A459">
        <v>465</v>
      </c>
      <c r="B459">
        <v>65</v>
      </c>
      <c r="C459" t="s">
        <v>10</v>
      </c>
      <c r="D459" t="s">
        <v>44</v>
      </c>
      <c r="E459" t="s">
        <v>45</v>
      </c>
      <c r="F459">
        <v>4000</v>
      </c>
      <c r="G459">
        <v>35</v>
      </c>
      <c r="H459" t="s">
        <v>13</v>
      </c>
      <c r="I459" t="s">
        <v>19</v>
      </c>
      <c r="J459">
        <v>4</v>
      </c>
      <c r="K459" s="1" t="str">
        <f t="shared" si="21"/>
        <v>60-74</v>
      </c>
      <c r="L459" s="1" t="str">
        <f t="shared" si="22"/>
        <v>Medium</v>
      </c>
      <c r="M459" s="1" t="str">
        <f t="shared" si="23"/>
        <v>Yes</v>
      </c>
    </row>
    <row r="460" spans="1:13" x14ac:dyDescent="0.35">
      <c r="A460">
        <v>466</v>
      </c>
      <c r="B460">
        <v>55</v>
      </c>
      <c r="C460" t="s">
        <v>10</v>
      </c>
      <c r="D460" t="s">
        <v>11</v>
      </c>
      <c r="E460" t="s">
        <v>12</v>
      </c>
      <c r="F460">
        <v>15000</v>
      </c>
      <c r="G460">
        <v>36</v>
      </c>
      <c r="H460" t="s">
        <v>18</v>
      </c>
      <c r="I460" t="s">
        <v>14</v>
      </c>
      <c r="J460">
        <v>3</v>
      </c>
      <c r="K460" s="1" t="str">
        <f t="shared" si="21"/>
        <v>45-59</v>
      </c>
      <c r="L460" s="1" t="str">
        <f t="shared" si="22"/>
        <v>High</v>
      </c>
      <c r="M460" s="1" t="str">
        <f t="shared" si="23"/>
        <v>No</v>
      </c>
    </row>
    <row r="461" spans="1:13" x14ac:dyDescent="0.35">
      <c r="A461">
        <v>467</v>
      </c>
      <c r="B461">
        <v>62</v>
      </c>
      <c r="C461" t="s">
        <v>15</v>
      </c>
      <c r="D461" t="s">
        <v>16</v>
      </c>
      <c r="E461" t="s">
        <v>17</v>
      </c>
      <c r="F461">
        <v>2000</v>
      </c>
      <c r="G461">
        <v>34</v>
      </c>
      <c r="H461" t="s">
        <v>13</v>
      </c>
      <c r="I461" t="s">
        <v>19</v>
      </c>
      <c r="J461">
        <v>4</v>
      </c>
      <c r="K461" s="1" t="str">
        <f t="shared" si="21"/>
        <v>60-74</v>
      </c>
      <c r="L461" s="1" t="str">
        <f t="shared" si="22"/>
        <v>Medium</v>
      </c>
      <c r="M461" s="1" t="str">
        <f t="shared" si="23"/>
        <v>Yes</v>
      </c>
    </row>
    <row r="462" spans="1:13" x14ac:dyDescent="0.35">
      <c r="A462">
        <v>468</v>
      </c>
      <c r="B462">
        <v>35</v>
      </c>
      <c r="C462" t="s">
        <v>10</v>
      </c>
      <c r="D462" t="s">
        <v>20</v>
      </c>
      <c r="E462" t="s">
        <v>21</v>
      </c>
      <c r="F462">
        <v>500</v>
      </c>
      <c r="G462">
        <v>32</v>
      </c>
      <c r="H462" t="s">
        <v>18</v>
      </c>
      <c r="I462" t="s">
        <v>14</v>
      </c>
      <c r="J462">
        <v>5</v>
      </c>
      <c r="K462" s="1" t="str">
        <f t="shared" si="21"/>
        <v>30-44</v>
      </c>
      <c r="L462" s="1" t="str">
        <f t="shared" si="22"/>
        <v>Low</v>
      </c>
      <c r="M462" s="1" t="str">
        <f t="shared" si="23"/>
        <v>Yes</v>
      </c>
    </row>
    <row r="463" spans="1:13" x14ac:dyDescent="0.35">
      <c r="A463">
        <v>469</v>
      </c>
      <c r="B463">
        <v>78</v>
      </c>
      <c r="C463" t="s">
        <v>15</v>
      </c>
      <c r="D463" t="s">
        <v>22</v>
      </c>
      <c r="E463" t="s">
        <v>23</v>
      </c>
      <c r="F463">
        <v>10000</v>
      </c>
      <c r="G463">
        <v>39</v>
      </c>
      <c r="H463" t="s">
        <v>13</v>
      </c>
      <c r="I463" t="s">
        <v>19</v>
      </c>
      <c r="J463">
        <v>2</v>
      </c>
      <c r="K463" s="1" t="str">
        <f t="shared" si="21"/>
        <v>75+</v>
      </c>
      <c r="L463" s="1" t="str">
        <f t="shared" si="22"/>
        <v>High</v>
      </c>
      <c r="M463" s="1" t="str">
        <f t="shared" si="23"/>
        <v>No</v>
      </c>
    </row>
    <row r="464" spans="1:13" x14ac:dyDescent="0.35">
      <c r="A464">
        <v>470</v>
      </c>
      <c r="B464">
        <v>53</v>
      </c>
      <c r="C464" t="s">
        <v>10</v>
      </c>
      <c r="D464" t="s">
        <v>24</v>
      </c>
      <c r="E464" t="s">
        <v>25</v>
      </c>
      <c r="F464">
        <v>25000</v>
      </c>
      <c r="G464">
        <v>41</v>
      </c>
      <c r="H464" t="s">
        <v>18</v>
      </c>
      <c r="I464" t="s">
        <v>14</v>
      </c>
      <c r="J464">
        <v>4</v>
      </c>
      <c r="K464" s="1" t="str">
        <f t="shared" si="21"/>
        <v>45-59</v>
      </c>
      <c r="L464" s="1" t="str">
        <f t="shared" si="22"/>
        <v>High</v>
      </c>
      <c r="M464" s="1" t="str">
        <f t="shared" si="23"/>
        <v>Yes</v>
      </c>
    </row>
    <row r="465" spans="1:13" x14ac:dyDescent="0.35">
      <c r="A465">
        <v>471</v>
      </c>
      <c r="B465">
        <v>72</v>
      </c>
      <c r="C465" t="s">
        <v>15</v>
      </c>
      <c r="D465" t="s">
        <v>26</v>
      </c>
      <c r="E465" t="s">
        <v>27</v>
      </c>
      <c r="F465">
        <v>1000</v>
      </c>
      <c r="G465">
        <v>33</v>
      </c>
      <c r="H465" t="s">
        <v>13</v>
      </c>
      <c r="I465" t="s">
        <v>19</v>
      </c>
      <c r="J465">
        <v>4</v>
      </c>
      <c r="K465" s="1" t="str">
        <f t="shared" si="21"/>
        <v>60-74</v>
      </c>
      <c r="L465" s="1" t="str">
        <f t="shared" si="22"/>
        <v>Low</v>
      </c>
      <c r="M465" s="1" t="str">
        <f t="shared" si="23"/>
        <v>Yes</v>
      </c>
    </row>
    <row r="466" spans="1:13" x14ac:dyDescent="0.35">
      <c r="A466">
        <v>472</v>
      </c>
      <c r="B466">
        <v>60</v>
      </c>
      <c r="C466" t="s">
        <v>10</v>
      </c>
      <c r="D466" t="s">
        <v>28</v>
      </c>
      <c r="E466" t="s">
        <v>29</v>
      </c>
      <c r="F466">
        <v>8000</v>
      </c>
      <c r="G466">
        <v>35</v>
      </c>
      <c r="H466" t="s">
        <v>18</v>
      </c>
      <c r="I466" t="s">
        <v>14</v>
      </c>
      <c r="J466">
        <v>3</v>
      </c>
      <c r="K466" s="1" t="str">
        <f t="shared" si="21"/>
        <v>60-74</v>
      </c>
      <c r="L466" s="1" t="str">
        <f t="shared" si="22"/>
        <v>Medium</v>
      </c>
      <c r="M466" s="1" t="str">
        <f t="shared" si="23"/>
        <v>No</v>
      </c>
    </row>
    <row r="467" spans="1:13" x14ac:dyDescent="0.35">
      <c r="A467">
        <v>473</v>
      </c>
      <c r="B467">
        <v>45</v>
      </c>
      <c r="C467" t="s">
        <v>15</v>
      </c>
      <c r="D467" t="s">
        <v>30</v>
      </c>
      <c r="E467" t="s">
        <v>31</v>
      </c>
      <c r="F467">
        <v>3000</v>
      </c>
      <c r="G467">
        <v>37</v>
      </c>
      <c r="H467" t="s">
        <v>13</v>
      </c>
      <c r="I467" t="s">
        <v>14</v>
      </c>
      <c r="J467">
        <v>4</v>
      </c>
      <c r="K467" s="1" t="str">
        <f t="shared" si="21"/>
        <v>45-59</v>
      </c>
      <c r="L467" s="1" t="str">
        <f t="shared" si="22"/>
        <v>Medium</v>
      </c>
      <c r="M467" s="1" t="str">
        <f t="shared" si="23"/>
        <v>Yes</v>
      </c>
    </row>
    <row r="468" spans="1:13" x14ac:dyDescent="0.35">
      <c r="A468">
        <v>474</v>
      </c>
      <c r="B468">
        <v>75</v>
      </c>
      <c r="C468" t="s">
        <v>10</v>
      </c>
      <c r="D468" t="s">
        <v>32</v>
      </c>
      <c r="E468" t="s">
        <v>33</v>
      </c>
      <c r="F468">
        <v>18000</v>
      </c>
      <c r="G468">
        <v>39</v>
      </c>
      <c r="H468" t="s">
        <v>18</v>
      </c>
      <c r="I468" t="s">
        <v>19</v>
      </c>
      <c r="J468">
        <v>2</v>
      </c>
      <c r="K468" s="1" t="str">
        <f t="shared" si="21"/>
        <v>75+</v>
      </c>
      <c r="L468" s="1" t="str">
        <f t="shared" si="22"/>
        <v>High</v>
      </c>
      <c r="M468" s="1" t="str">
        <f t="shared" si="23"/>
        <v>No</v>
      </c>
    </row>
    <row r="469" spans="1:13" x14ac:dyDescent="0.35">
      <c r="A469">
        <v>475</v>
      </c>
      <c r="B469">
        <v>28</v>
      </c>
      <c r="C469" t="s">
        <v>15</v>
      </c>
      <c r="D469" t="s">
        <v>34</v>
      </c>
      <c r="E469" t="s">
        <v>35</v>
      </c>
      <c r="F469">
        <v>100</v>
      </c>
      <c r="G469">
        <v>32</v>
      </c>
      <c r="H469" t="s">
        <v>13</v>
      </c>
      <c r="I469" t="s">
        <v>14</v>
      </c>
      <c r="J469">
        <v>5</v>
      </c>
      <c r="K469" s="1" t="str">
        <f t="shared" si="21"/>
        <v>18-29</v>
      </c>
      <c r="L469" s="1" t="str">
        <f t="shared" si="22"/>
        <v>Low</v>
      </c>
      <c r="M469" s="1" t="str">
        <f t="shared" si="23"/>
        <v>Yes</v>
      </c>
    </row>
    <row r="470" spans="1:13" x14ac:dyDescent="0.35">
      <c r="A470">
        <v>476</v>
      </c>
      <c r="B470">
        <v>52</v>
      </c>
      <c r="C470" t="s">
        <v>10</v>
      </c>
      <c r="D470" t="s">
        <v>36</v>
      </c>
      <c r="E470" t="s">
        <v>37</v>
      </c>
      <c r="F470">
        <v>800</v>
      </c>
      <c r="G470">
        <v>33</v>
      </c>
      <c r="H470" t="s">
        <v>13</v>
      </c>
      <c r="I470" t="s">
        <v>19</v>
      </c>
      <c r="J470">
        <v>4</v>
      </c>
      <c r="K470" s="1" t="str">
        <f t="shared" si="21"/>
        <v>45-59</v>
      </c>
      <c r="L470" s="1" t="str">
        <f t="shared" si="22"/>
        <v>Low</v>
      </c>
      <c r="M470" s="1" t="str">
        <f t="shared" si="23"/>
        <v>Yes</v>
      </c>
    </row>
    <row r="471" spans="1:13" x14ac:dyDescent="0.35">
      <c r="A471">
        <v>477</v>
      </c>
      <c r="B471">
        <v>67</v>
      </c>
      <c r="C471" t="s">
        <v>15</v>
      </c>
      <c r="D471" t="s">
        <v>38</v>
      </c>
      <c r="E471" t="s">
        <v>39</v>
      </c>
      <c r="F471">
        <v>20000</v>
      </c>
      <c r="G471">
        <v>40</v>
      </c>
      <c r="H471" t="s">
        <v>13</v>
      </c>
      <c r="I471" t="s">
        <v>14</v>
      </c>
      <c r="J471">
        <v>3</v>
      </c>
      <c r="K471" s="1" t="str">
        <f t="shared" si="21"/>
        <v>60-74</v>
      </c>
      <c r="L471" s="1" t="str">
        <f t="shared" si="22"/>
        <v>High</v>
      </c>
      <c r="M471" s="1" t="str">
        <f t="shared" si="23"/>
        <v>No</v>
      </c>
    </row>
    <row r="472" spans="1:13" x14ac:dyDescent="0.35">
      <c r="A472">
        <v>479</v>
      </c>
      <c r="B472">
        <v>50</v>
      </c>
      <c r="C472" t="s">
        <v>15</v>
      </c>
      <c r="D472" t="s">
        <v>42</v>
      </c>
      <c r="E472" t="s">
        <v>43</v>
      </c>
      <c r="F472">
        <v>6000</v>
      </c>
      <c r="G472">
        <v>35</v>
      </c>
      <c r="H472" t="s">
        <v>13</v>
      </c>
      <c r="I472" t="s">
        <v>14</v>
      </c>
      <c r="J472">
        <v>3</v>
      </c>
      <c r="K472" s="1" t="str">
        <f t="shared" si="21"/>
        <v>45-59</v>
      </c>
      <c r="L472" s="1" t="str">
        <f t="shared" si="22"/>
        <v>Medium</v>
      </c>
      <c r="M472" s="1" t="str">
        <f t="shared" si="23"/>
        <v>No</v>
      </c>
    </row>
    <row r="473" spans="1:13" x14ac:dyDescent="0.35">
      <c r="A473">
        <v>480</v>
      </c>
      <c r="B473">
        <v>60</v>
      </c>
      <c r="C473" t="s">
        <v>10</v>
      </c>
      <c r="D473" t="s">
        <v>44</v>
      </c>
      <c r="E473" t="s">
        <v>45</v>
      </c>
      <c r="F473">
        <v>4000</v>
      </c>
      <c r="G473">
        <v>36</v>
      </c>
      <c r="H473" t="s">
        <v>13</v>
      </c>
      <c r="I473" t="s">
        <v>19</v>
      </c>
      <c r="J473">
        <v>4</v>
      </c>
      <c r="K473" s="1" t="str">
        <f t="shared" si="21"/>
        <v>60-74</v>
      </c>
      <c r="L473" s="1" t="str">
        <f t="shared" si="22"/>
        <v>Medium</v>
      </c>
      <c r="M473" s="1" t="str">
        <f t="shared" si="23"/>
        <v>Yes</v>
      </c>
    </row>
    <row r="474" spans="1:13" x14ac:dyDescent="0.35">
      <c r="A474">
        <v>481</v>
      </c>
      <c r="B474">
        <v>48</v>
      </c>
      <c r="C474" t="s">
        <v>10</v>
      </c>
      <c r="D474" t="s">
        <v>11</v>
      </c>
      <c r="E474" t="s">
        <v>12</v>
      </c>
      <c r="F474">
        <v>15000</v>
      </c>
      <c r="G474">
        <v>37</v>
      </c>
      <c r="H474" t="s">
        <v>18</v>
      </c>
      <c r="I474" t="s">
        <v>14</v>
      </c>
      <c r="J474">
        <v>4</v>
      </c>
      <c r="K474" s="1" t="str">
        <f t="shared" si="21"/>
        <v>45-59</v>
      </c>
      <c r="L474" s="1" t="str">
        <f t="shared" si="22"/>
        <v>High</v>
      </c>
      <c r="M474" s="1" t="str">
        <f t="shared" si="23"/>
        <v>Yes</v>
      </c>
    </row>
    <row r="475" spans="1:13" x14ac:dyDescent="0.35">
      <c r="A475">
        <v>482</v>
      </c>
      <c r="B475">
        <v>65</v>
      </c>
      <c r="C475" t="s">
        <v>15</v>
      </c>
      <c r="D475" t="s">
        <v>16</v>
      </c>
      <c r="E475" t="s">
        <v>17</v>
      </c>
      <c r="F475">
        <v>2000</v>
      </c>
      <c r="G475">
        <v>35</v>
      </c>
      <c r="H475" t="s">
        <v>13</v>
      </c>
      <c r="I475" t="s">
        <v>19</v>
      </c>
      <c r="J475">
        <v>3</v>
      </c>
      <c r="K475" s="1" t="str">
        <f t="shared" si="21"/>
        <v>60-74</v>
      </c>
      <c r="L475" s="1" t="str">
        <f t="shared" si="22"/>
        <v>Medium</v>
      </c>
      <c r="M475" s="1" t="str">
        <f t="shared" si="23"/>
        <v>No</v>
      </c>
    </row>
    <row r="476" spans="1:13" x14ac:dyDescent="0.35">
      <c r="A476">
        <v>483</v>
      </c>
      <c r="B476">
        <v>30</v>
      </c>
      <c r="C476" t="s">
        <v>10</v>
      </c>
      <c r="D476" t="s">
        <v>20</v>
      </c>
      <c r="E476" t="s">
        <v>21</v>
      </c>
      <c r="F476">
        <v>500</v>
      </c>
      <c r="G476">
        <v>33</v>
      </c>
      <c r="H476" t="s">
        <v>13</v>
      </c>
      <c r="I476" t="s">
        <v>14</v>
      </c>
      <c r="J476">
        <v>5</v>
      </c>
      <c r="K476" s="1" t="str">
        <f t="shared" si="21"/>
        <v>30-44</v>
      </c>
      <c r="L476" s="1" t="str">
        <f t="shared" si="22"/>
        <v>Low</v>
      </c>
      <c r="M476" s="1" t="str">
        <f t="shared" si="23"/>
        <v>Yes</v>
      </c>
    </row>
    <row r="477" spans="1:13" x14ac:dyDescent="0.35">
      <c r="A477">
        <v>484</v>
      </c>
      <c r="B477">
        <v>70</v>
      </c>
      <c r="C477" t="s">
        <v>15</v>
      </c>
      <c r="D477" t="s">
        <v>22</v>
      </c>
      <c r="E477" t="s">
        <v>23</v>
      </c>
      <c r="F477">
        <v>10000</v>
      </c>
      <c r="G477">
        <v>40</v>
      </c>
      <c r="H477" t="s">
        <v>18</v>
      </c>
      <c r="I477" t="s">
        <v>19</v>
      </c>
      <c r="J477">
        <v>2</v>
      </c>
      <c r="K477" s="1" t="str">
        <f t="shared" si="21"/>
        <v>60-74</v>
      </c>
      <c r="L477" s="1" t="str">
        <f t="shared" si="22"/>
        <v>High</v>
      </c>
      <c r="M477" s="1" t="str">
        <f t="shared" si="23"/>
        <v>No</v>
      </c>
    </row>
    <row r="478" spans="1:13" x14ac:dyDescent="0.35">
      <c r="A478">
        <v>485</v>
      </c>
      <c r="B478">
        <v>55</v>
      </c>
      <c r="C478" t="s">
        <v>10</v>
      </c>
      <c r="D478" t="s">
        <v>24</v>
      </c>
      <c r="E478" t="s">
        <v>25</v>
      </c>
      <c r="F478">
        <v>25000</v>
      </c>
      <c r="G478">
        <v>42</v>
      </c>
      <c r="H478" t="s">
        <v>13</v>
      </c>
      <c r="I478" t="s">
        <v>14</v>
      </c>
      <c r="J478">
        <v>4</v>
      </c>
      <c r="K478" s="1" t="str">
        <f t="shared" si="21"/>
        <v>45-59</v>
      </c>
      <c r="L478" s="1" t="str">
        <f t="shared" si="22"/>
        <v>High</v>
      </c>
      <c r="M478" s="1" t="str">
        <f t="shared" si="23"/>
        <v>Yes</v>
      </c>
    </row>
    <row r="479" spans="1:13" x14ac:dyDescent="0.35">
      <c r="A479">
        <v>486</v>
      </c>
      <c r="B479">
        <v>68</v>
      </c>
      <c r="C479" t="s">
        <v>15</v>
      </c>
      <c r="D479" t="s">
        <v>26</v>
      </c>
      <c r="E479" t="s">
        <v>27</v>
      </c>
      <c r="F479">
        <v>1000</v>
      </c>
      <c r="G479">
        <v>34</v>
      </c>
      <c r="H479" t="s">
        <v>13</v>
      </c>
      <c r="I479" t="s">
        <v>19</v>
      </c>
      <c r="J479">
        <v>4</v>
      </c>
      <c r="K479" s="1" t="str">
        <f t="shared" si="21"/>
        <v>60-74</v>
      </c>
      <c r="L479" s="1" t="str">
        <f t="shared" si="22"/>
        <v>Low</v>
      </c>
      <c r="M479" s="1" t="str">
        <f t="shared" si="23"/>
        <v>Yes</v>
      </c>
    </row>
    <row r="480" spans="1:13" x14ac:dyDescent="0.35">
      <c r="A480">
        <v>487</v>
      </c>
      <c r="B480">
        <v>45</v>
      </c>
      <c r="C480" t="s">
        <v>10</v>
      </c>
      <c r="D480" t="s">
        <v>28</v>
      </c>
      <c r="E480" t="s">
        <v>29</v>
      </c>
      <c r="F480">
        <v>8000</v>
      </c>
      <c r="G480">
        <v>36</v>
      </c>
      <c r="H480" t="s">
        <v>13</v>
      </c>
      <c r="I480" t="s">
        <v>14</v>
      </c>
      <c r="J480">
        <v>3</v>
      </c>
      <c r="K480" s="1" t="str">
        <f t="shared" si="21"/>
        <v>45-59</v>
      </c>
      <c r="L480" s="1" t="str">
        <f t="shared" si="22"/>
        <v>Medium</v>
      </c>
      <c r="M480" s="1" t="str">
        <f t="shared" si="23"/>
        <v>No</v>
      </c>
    </row>
    <row r="481" spans="1:13" x14ac:dyDescent="0.35">
      <c r="A481">
        <v>488</v>
      </c>
      <c r="B481">
        <v>40</v>
      </c>
      <c r="C481" t="s">
        <v>15</v>
      </c>
      <c r="D481" t="s">
        <v>30</v>
      </c>
      <c r="E481" t="s">
        <v>31</v>
      </c>
      <c r="F481">
        <v>3000</v>
      </c>
      <c r="G481">
        <v>38</v>
      </c>
      <c r="H481" t="s">
        <v>13</v>
      </c>
      <c r="I481" t="s">
        <v>14</v>
      </c>
      <c r="J481">
        <v>4</v>
      </c>
      <c r="K481" s="1" t="str">
        <f t="shared" si="21"/>
        <v>30-44</v>
      </c>
      <c r="L481" s="1" t="str">
        <f t="shared" si="22"/>
        <v>Medium</v>
      </c>
      <c r="M481" s="1" t="str">
        <f t="shared" si="23"/>
        <v>Yes</v>
      </c>
    </row>
    <row r="482" spans="1:13" x14ac:dyDescent="0.35">
      <c r="A482">
        <v>489</v>
      </c>
      <c r="B482">
        <v>78</v>
      </c>
      <c r="C482" t="s">
        <v>10</v>
      </c>
      <c r="D482" t="s">
        <v>32</v>
      </c>
      <c r="E482" t="s">
        <v>33</v>
      </c>
      <c r="F482">
        <v>18000</v>
      </c>
      <c r="G482">
        <v>40</v>
      </c>
      <c r="H482" t="s">
        <v>18</v>
      </c>
      <c r="I482" t="s">
        <v>19</v>
      </c>
      <c r="J482">
        <v>2</v>
      </c>
      <c r="K482" s="1" t="str">
        <f t="shared" si="21"/>
        <v>75+</v>
      </c>
      <c r="L482" s="1" t="str">
        <f t="shared" si="22"/>
        <v>High</v>
      </c>
      <c r="M482" s="1" t="str">
        <f t="shared" si="23"/>
        <v>No</v>
      </c>
    </row>
    <row r="483" spans="1:13" x14ac:dyDescent="0.35">
      <c r="A483">
        <v>490</v>
      </c>
      <c r="B483">
        <v>25</v>
      </c>
      <c r="C483" t="s">
        <v>15</v>
      </c>
      <c r="D483" t="s">
        <v>34</v>
      </c>
      <c r="E483" t="s">
        <v>35</v>
      </c>
      <c r="F483">
        <v>100</v>
      </c>
      <c r="G483">
        <v>33</v>
      </c>
      <c r="H483" t="s">
        <v>13</v>
      </c>
      <c r="I483" t="s">
        <v>14</v>
      </c>
      <c r="J483">
        <v>5</v>
      </c>
      <c r="K483" s="1" t="str">
        <f t="shared" si="21"/>
        <v>18-29</v>
      </c>
      <c r="L483" s="1" t="str">
        <f t="shared" si="22"/>
        <v>Low</v>
      </c>
      <c r="M483" s="1" t="str">
        <f t="shared" si="23"/>
        <v>Yes</v>
      </c>
    </row>
    <row r="484" spans="1:13" x14ac:dyDescent="0.35">
      <c r="A484">
        <v>491</v>
      </c>
      <c r="B484">
        <v>52</v>
      </c>
      <c r="C484" t="s">
        <v>10</v>
      </c>
      <c r="D484" t="s">
        <v>36</v>
      </c>
      <c r="E484" t="s">
        <v>37</v>
      </c>
      <c r="F484">
        <v>800</v>
      </c>
      <c r="G484">
        <v>34</v>
      </c>
      <c r="H484" t="s">
        <v>13</v>
      </c>
      <c r="I484" t="s">
        <v>19</v>
      </c>
      <c r="J484">
        <v>4</v>
      </c>
      <c r="K484" s="1" t="str">
        <f t="shared" si="21"/>
        <v>45-59</v>
      </c>
      <c r="L484" s="1" t="str">
        <f t="shared" si="22"/>
        <v>Low</v>
      </c>
      <c r="M484" s="1" t="str">
        <f t="shared" si="23"/>
        <v>Yes</v>
      </c>
    </row>
    <row r="485" spans="1:13" x14ac:dyDescent="0.35">
      <c r="A485">
        <v>492</v>
      </c>
      <c r="B485">
        <v>58</v>
      </c>
      <c r="C485" t="s">
        <v>15</v>
      </c>
      <c r="D485" t="s">
        <v>38</v>
      </c>
      <c r="E485" t="s">
        <v>39</v>
      </c>
      <c r="F485">
        <v>20000</v>
      </c>
      <c r="G485">
        <v>41</v>
      </c>
      <c r="H485" t="s">
        <v>13</v>
      </c>
      <c r="I485" t="s">
        <v>14</v>
      </c>
      <c r="J485">
        <v>3</v>
      </c>
      <c r="K485" s="1" t="str">
        <f t="shared" si="21"/>
        <v>45-59</v>
      </c>
      <c r="L485" s="1" t="str">
        <f t="shared" si="22"/>
        <v>High</v>
      </c>
      <c r="M485" s="1" t="str">
        <f t="shared" si="23"/>
        <v>No</v>
      </c>
    </row>
    <row r="486" spans="1:13" x14ac:dyDescent="0.35">
      <c r="A486">
        <v>493</v>
      </c>
      <c r="B486">
        <v>32</v>
      </c>
      <c r="C486" t="s">
        <v>10</v>
      </c>
      <c r="D486" t="s">
        <v>40</v>
      </c>
      <c r="E486" t="s">
        <v>41</v>
      </c>
      <c r="F486">
        <v>12000</v>
      </c>
      <c r="G486">
        <v>35</v>
      </c>
      <c r="H486" t="s">
        <v>13</v>
      </c>
      <c r="I486" t="s">
        <v>14</v>
      </c>
      <c r="J486">
        <v>4</v>
      </c>
      <c r="K486" s="1" t="str">
        <f t="shared" si="21"/>
        <v>30-44</v>
      </c>
      <c r="L486" s="1" t="str">
        <f t="shared" si="22"/>
        <v>High</v>
      </c>
      <c r="M486" s="1" t="str">
        <f t="shared" si="23"/>
        <v>Yes</v>
      </c>
    </row>
    <row r="487" spans="1:13" x14ac:dyDescent="0.35">
      <c r="A487">
        <v>494</v>
      </c>
      <c r="B487">
        <v>55</v>
      </c>
      <c r="C487" t="s">
        <v>15</v>
      </c>
      <c r="D487" t="s">
        <v>42</v>
      </c>
      <c r="E487" t="s">
        <v>43</v>
      </c>
      <c r="F487">
        <v>6000</v>
      </c>
      <c r="G487">
        <v>36</v>
      </c>
      <c r="H487" t="s">
        <v>13</v>
      </c>
      <c r="I487" t="s">
        <v>14</v>
      </c>
      <c r="J487">
        <v>3</v>
      </c>
      <c r="K487" s="1" t="str">
        <f t="shared" si="21"/>
        <v>45-59</v>
      </c>
      <c r="L487" s="1" t="str">
        <f t="shared" si="22"/>
        <v>Medium</v>
      </c>
      <c r="M487" s="1" t="str">
        <f t="shared" si="23"/>
        <v>No</v>
      </c>
    </row>
    <row r="488" spans="1:13" x14ac:dyDescent="0.35">
      <c r="A488">
        <v>495</v>
      </c>
      <c r="B488">
        <v>65</v>
      </c>
      <c r="C488" t="s">
        <v>10</v>
      </c>
      <c r="D488" t="s">
        <v>44</v>
      </c>
      <c r="E488" t="s">
        <v>45</v>
      </c>
      <c r="F488">
        <v>4000</v>
      </c>
      <c r="G488">
        <v>37</v>
      </c>
      <c r="H488" t="s">
        <v>13</v>
      </c>
      <c r="I488" t="s">
        <v>19</v>
      </c>
      <c r="J488">
        <v>4</v>
      </c>
      <c r="K488" s="1" t="str">
        <f t="shared" si="21"/>
        <v>60-74</v>
      </c>
      <c r="L488" s="1" t="str">
        <f t="shared" si="22"/>
        <v>Medium</v>
      </c>
      <c r="M488" s="1" t="str">
        <f t="shared" si="23"/>
        <v>Yes</v>
      </c>
    </row>
    <row r="489" spans="1:13" x14ac:dyDescent="0.35">
      <c r="A489">
        <v>496</v>
      </c>
      <c r="B489">
        <v>55</v>
      </c>
      <c r="C489" t="s">
        <v>10</v>
      </c>
      <c r="D489" t="s">
        <v>11</v>
      </c>
      <c r="E489" t="s">
        <v>12</v>
      </c>
      <c r="F489">
        <v>15000</v>
      </c>
      <c r="G489">
        <v>38</v>
      </c>
      <c r="H489" t="s">
        <v>18</v>
      </c>
      <c r="I489" t="s">
        <v>14</v>
      </c>
      <c r="J489">
        <v>3</v>
      </c>
      <c r="K489" s="1" t="str">
        <f t="shared" si="21"/>
        <v>45-59</v>
      </c>
      <c r="L489" s="1" t="str">
        <f t="shared" si="22"/>
        <v>High</v>
      </c>
      <c r="M489" s="1" t="str">
        <f t="shared" si="23"/>
        <v>No</v>
      </c>
    </row>
    <row r="490" spans="1:13" x14ac:dyDescent="0.35">
      <c r="A490">
        <v>497</v>
      </c>
      <c r="B490">
        <v>62</v>
      </c>
      <c r="C490" t="s">
        <v>15</v>
      </c>
      <c r="D490" t="s">
        <v>16</v>
      </c>
      <c r="E490" t="s">
        <v>17</v>
      </c>
      <c r="F490">
        <v>2000</v>
      </c>
      <c r="G490">
        <v>36</v>
      </c>
      <c r="H490" t="s">
        <v>13</v>
      </c>
      <c r="I490" t="s">
        <v>19</v>
      </c>
      <c r="J490">
        <v>4</v>
      </c>
      <c r="K490" s="1" t="str">
        <f t="shared" si="21"/>
        <v>60-74</v>
      </c>
      <c r="L490" s="1" t="str">
        <f t="shared" si="22"/>
        <v>Medium</v>
      </c>
      <c r="M490" s="1" t="str">
        <f t="shared" si="23"/>
        <v>Yes</v>
      </c>
    </row>
    <row r="491" spans="1:13" x14ac:dyDescent="0.35">
      <c r="A491">
        <v>498</v>
      </c>
      <c r="B491">
        <v>35</v>
      </c>
      <c r="C491" t="s">
        <v>10</v>
      </c>
      <c r="D491" t="s">
        <v>20</v>
      </c>
      <c r="E491" t="s">
        <v>21</v>
      </c>
      <c r="F491">
        <v>500</v>
      </c>
      <c r="G491">
        <v>34</v>
      </c>
      <c r="H491" t="s">
        <v>18</v>
      </c>
      <c r="I491" t="s">
        <v>14</v>
      </c>
      <c r="J491">
        <v>5</v>
      </c>
      <c r="K491" s="1" t="str">
        <f t="shared" si="21"/>
        <v>30-44</v>
      </c>
      <c r="L491" s="1" t="str">
        <f t="shared" si="22"/>
        <v>Low</v>
      </c>
      <c r="M491" s="1" t="str">
        <f t="shared" si="23"/>
        <v>Yes</v>
      </c>
    </row>
    <row r="492" spans="1:13" x14ac:dyDescent="0.35">
      <c r="A492">
        <v>499</v>
      </c>
      <c r="B492">
        <v>78</v>
      </c>
      <c r="C492" t="s">
        <v>15</v>
      </c>
      <c r="D492" t="s">
        <v>22</v>
      </c>
      <c r="E492" t="s">
        <v>23</v>
      </c>
      <c r="F492">
        <v>10000</v>
      </c>
      <c r="G492">
        <v>41</v>
      </c>
      <c r="H492" t="s">
        <v>13</v>
      </c>
      <c r="I492" t="s">
        <v>19</v>
      </c>
      <c r="J492">
        <v>2</v>
      </c>
      <c r="K492" s="1" t="str">
        <f t="shared" si="21"/>
        <v>75+</v>
      </c>
      <c r="L492" s="1" t="str">
        <f t="shared" si="22"/>
        <v>High</v>
      </c>
      <c r="M492" s="1" t="str">
        <f t="shared" si="23"/>
        <v>No</v>
      </c>
    </row>
    <row r="493" spans="1:13" x14ac:dyDescent="0.35">
      <c r="A493">
        <v>500</v>
      </c>
      <c r="B493">
        <v>53</v>
      </c>
      <c r="C493" t="s">
        <v>10</v>
      </c>
      <c r="D493" t="s">
        <v>24</v>
      </c>
      <c r="E493" t="s">
        <v>25</v>
      </c>
      <c r="F493">
        <v>25000</v>
      </c>
      <c r="G493">
        <v>43</v>
      </c>
      <c r="H493" t="s">
        <v>18</v>
      </c>
      <c r="I493" t="s">
        <v>14</v>
      </c>
      <c r="J493">
        <v>4</v>
      </c>
      <c r="K493" s="1" t="str">
        <f t="shared" si="21"/>
        <v>45-59</v>
      </c>
      <c r="L493" s="1" t="str">
        <f t="shared" si="22"/>
        <v>High</v>
      </c>
      <c r="M493" s="1" t="str">
        <f t="shared" si="23"/>
        <v>Yes</v>
      </c>
    </row>
    <row r="494" spans="1:13" x14ac:dyDescent="0.35">
      <c r="A494">
        <v>501</v>
      </c>
      <c r="B494">
        <v>72</v>
      </c>
      <c r="C494" t="s">
        <v>15</v>
      </c>
      <c r="D494" t="s">
        <v>26</v>
      </c>
      <c r="E494" t="s">
        <v>27</v>
      </c>
      <c r="F494">
        <v>1000</v>
      </c>
      <c r="G494">
        <v>35</v>
      </c>
      <c r="H494" t="s">
        <v>13</v>
      </c>
      <c r="I494" t="s">
        <v>19</v>
      </c>
      <c r="J494">
        <v>4</v>
      </c>
      <c r="K494" s="1" t="str">
        <f t="shared" si="21"/>
        <v>60-74</v>
      </c>
      <c r="L494" s="1" t="str">
        <f t="shared" si="22"/>
        <v>Low</v>
      </c>
      <c r="M494" s="1" t="str">
        <f t="shared" si="23"/>
        <v>Yes</v>
      </c>
    </row>
    <row r="495" spans="1:13" x14ac:dyDescent="0.35">
      <c r="A495">
        <v>502</v>
      </c>
      <c r="B495">
        <v>60</v>
      </c>
      <c r="C495" t="s">
        <v>10</v>
      </c>
      <c r="D495" t="s">
        <v>28</v>
      </c>
      <c r="E495" t="s">
        <v>29</v>
      </c>
      <c r="F495">
        <v>8000</v>
      </c>
      <c r="G495">
        <v>37</v>
      </c>
      <c r="H495" t="s">
        <v>18</v>
      </c>
      <c r="I495" t="s">
        <v>14</v>
      </c>
      <c r="J495">
        <v>3</v>
      </c>
      <c r="K495" s="1" t="str">
        <f t="shared" si="21"/>
        <v>60-74</v>
      </c>
      <c r="L495" s="1" t="str">
        <f t="shared" si="22"/>
        <v>Medium</v>
      </c>
      <c r="M495" s="1" t="str">
        <f t="shared" si="23"/>
        <v>No</v>
      </c>
    </row>
    <row r="496" spans="1:13" x14ac:dyDescent="0.35">
      <c r="A496">
        <v>503</v>
      </c>
      <c r="B496">
        <v>45</v>
      </c>
      <c r="C496" t="s">
        <v>15</v>
      </c>
      <c r="D496" t="s">
        <v>30</v>
      </c>
      <c r="E496" t="s">
        <v>31</v>
      </c>
      <c r="F496">
        <v>3000</v>
      </c>
      <c r="G496">
        <v>39</v>
      </c>
      <c r="H496" t="s">
        <v>13</v>
      </c>
      <c r="I496" t="s">
        <v>14</v>
      </c>
      <c r="J496">
        <v>4</v>
      </c>
      <c r="K496" s="1" t="str">
        <f t="shared" si="21"/>
        <v>45-59</v>
      </c>
      <c r="L496" s="1" t="str">
        <f t="shared" si="22"/>
        <v>Medium</v>
      </c>
      <c r="M496" s="1" t="str">
        <f t="shared" si="23"/>
        <v>Yes</v>
      </c>
    </row>
    <row r="497" spans="1:13" x14ac:dyDescent="0.35">
      <c r="A497">
        <v>504</v>
      </c>
      <c r="B497">
        <v>75</v>
      </c>
      <c r="C497" t="s">
        <v>10</v>
      </c>
      <c r="D497" t="s">
        <v>32</v>
      </c>
      <c r="E497" t="s">
        <v>33</v>
      </c>
      <c r="F497">
        <v>18000</v>
      </c>
      <c r="G497">
        <v>41</v>
      </c>
      <c r="H497" t="s">
        <v>18</v>
      </c>
      <c r="I497" t="s">
        <v>19</v>
      </c>
      <c r="J497">
        <v>2</v>
      </c>
      <c r="K497" s="1" t="str">
        <f t="shared" si="21"/>
        <v>75+</v>
      </c>
      <c r="L497" s="1" t="str">
        <f t="shared" si="22"/>
        <v>High</v>
      </c>
      <c r="M497" s="1" t="str">
        <f t="shared" si="23"/>
        <v>No</v>
      </c>
    </row>
    <row r="498" spans="1:13" x14ac:dyDescent="0.35">
      <c r="A498">
        <v>505</v>
      </c>
      <c r="B498">
        <v>28</v>
      </c>
      <c r="C498" t="s">
        <v>15</v>
      </c>
      <c r="D498" t="s">
        <v>34</v>
      </c>
      <c r="E498" t="s">
        <v>35</v>
      </c>
      <c r="F498">
        <v>100</v>
      </c>
      <c r="G498">
        <v>34</v>
      </c>
      <c r="H498" t="s">
        <v>13</v>
      </c>
      <c r="I498" t="s">
        <v>14</v>
      </c>
      <c r="J498">
        <v>5</v>
      </c>
      <c r="K498" s="1" t="str">
        <f t="shared" si="21"/>
        <v>18-29</v>
      </c>
      <c r="L498" s="1" t="str">
        <f t="shared" si="22"/>
        <v>Low</v>
      </c>
      <c r="M498" s="1" t="str">
        <f t="shared" si="23"/>
        <v>Yes</v>
      </c>
    </row>
    <row r="499" spans="1:13" x14ac:dyDescent="0.35">
      <c r="A499">
        <v>506</v>
      </c>
      <c r="B499">
        <v>52</v>
      </c>
      <c r="C499" t="s">
        <v>10</v>
      </c>
      <c r="D499" t="s">
        <v>36</v>
      </c>
      <c r="E499" t="s">
        <v>37</v>
      </c>
      <c r="F499">
        <v>800</v>
      </c>
      <c r="G499">
        <v>35</v>
      </c>
      <c r="H499" t="s">
        <v>13</v>
      </c>
      <c r="I499" t="s">
        <v>19</v>
      </c>
      <c r="J499">
        <v>4</v>
      </c>
      <c r="K499" s="1" t="str">
        <f t="shared" si="21"/>
        <v>45-59</v>
      </c>
      <c r="L499" s="1" t="str">
        <f t="shared" si="22"/>
        <v>Low</v>
      </c>
      <c r="M499" s="1" t="str">
        <f t="shared" si="23"/>
        <v>Yes</v>
      </c>
    </row>
    <row r="500" spans="1:13" x14ac:dyDescent="0.35">
      <c r="A500">
        <v>507</v>
      </c>
      <c r="B500">
        <v>67</v>
      </c>
      <c r="C500" t="s">
        <v>15</v>
      </c>
      <c r="D500" t="s">
        <v>38</v>
      </c>
      <c r="E500" t="s">
        <v>39</v>
      </c>
      <c r="F500">
        <v>20000</v>
      </c>
      <c r="G500">
        <v>42</v>
      </c>
      <c r="H500" t="s">
        <v>13</v>
      </c>
      <c r="I500" t="s">
        <v>14</v>
      </c>
      <c r="J500">
        <v>3</v>
      </c>
      <c r="K500" s="1" t="str">
        <f t="shared" si="21"/>
        <v>60-74</v>
      </c>
      <c r="L500" s="1" t="str">
        <f t="shared" si="22"/>
        <v>High</v>
      </c>
      <c r="M500" s="1" t="str">
        <f t="shared" si="23"/>
        <v>No</v>
      </c>
    </row>
    <row r="501" spans="1:13" x14ac:dyDescent="0.35">
      <c r="A501">
        <v>508</v>
      </c>
      <c r="B501">
        <v>35</v>
      </c>
      <c r="C501" t="s">
        <v>10</v>
      </c>
      <c r="D501" t="s">
        <v>40</v>
      </c>
      <c r="E501" t="s">
        <v>41</v>
      </c>
      <c r="F501">
        <v>12000</v>
      </c>
      <c r="G501">
        <v>36</v>
      </c>
      <c r="H501" t="s">
        <v>13</v>
      </c>
      <c r="I501" t="s">
        <v>14</v>
      </c>
      <c r="J501">
        <v>4</v>
      </c>
      <c r="K501" s="1" t="str">
        <f t="shared" si="21"/>
        <v>30-44</v>
      </c>
      <c r="L501" s="1" t="str">
        <f t="shared" si="22"/>
        <v>High</v>
      </c>
      <c r="M501" s="1" t="str">
        <f t="shared" si="23"/>
        <v>Yes</v>
      </c>
    </row>
    <row r="502" spans="1:13" x14ac:dyDescent="0.35">
      <c r="A502">
        <v>509</v>
      </c>
      <c r="B502">
        <v>50</v>
      </c>
      <c r="C502" t="s">
        <v>15</v>
      </c>
      <c r="D502" t="s">
        <v>42</v>
      </c>
      <c r="E502" t="s">
        <v>43</v>
      </c>
      <c r="F502">
        <v>6000</v>
      </c>
      <c r="G502">
        <v>37</v>
      </c>
      <c r="H502" t="s">
        <v>13</v>
      </c>
      <c r="I502" t="s">
        <v>14</v>
      </c>
      <c r="J502">
        <v>3</v>
      </c>
      <c r="K502" s="1" t="str">
        <f t="shared" si="21"/>
        <v>45-59</v>
      </c>
      <c r="L502" s="1" t="str">
        <f t="shared" si="22"/>
        <v>Medium</v>
      </c>
      <c r="M502" s="1" t="str">
        <f t="shared" si="23"/>
        <v>No</v>
      </c>
    </row>
    <row r="503" spans="1:13" x14ac:dyDescent="0.35">
      <c r="A503">
        <v>510</v>
      </c>
      <c r="B503">
        <v>60</v>
      </c>
      <c r="C503" t="s">
        <v>10</v>
      </c>
      <c r="D503" t="s">
        <v>44</v>
      </c>
      <c r="E503" t="s">
        <v>45</v>
      </c>
      <c r="F503">
        <v>4000</v>
      </c>
      <c r="G503">
        <v>38</v>
      </c>
      <c r="H503" t="s">
        <v>13</v>
      </c>
      <c r="I503" t="s">
        <v>19</v>
      </c>
      <c r="J503">
        <v>4</v>
      </c>
      <c r="K503" s="1" t="str">
        <f t="shared" si="21"/>
        <v>60-74</v>
      </c>
      <c r="L503" s="1" t="str">
        <f t="shared" si="22"/>
        <v>Medium</v>
      </c>
      <c r="M503" s="1" t="str">
        <f t="shared" si="23"/>
        <v>Yes</v>
      </c>
    </row>
    <row r="504" spans="1:13" x14ac:dyDescent="0.35">
      <c r="A504">
        <v>511</v>
      </c>
      <c r="B504">
        <v>48</v>
      </c>
      <c r="C504" t="s">
        <v>10</v>
      </c>
      <c r="D504" t="s">
        <v>11</v>
      </c>
      <c r="E504" t="s">
        <v>12</v>
      </c>
      <c r="F504">
        <v>15000</v>
      </c>
      <c r="G504">
        <v>39</v>
      </c>
      <c r="H504" t="s">
        <v>18</v>
      </c>
      <c r="I504" t="s">
        <v>14</v>
      </c>
      <c r="J504">
        <v>4</v>
      </c>
      <c r="K504" s="1" t="str">
        <f t="shared" si="21"/>
        <v>45-59</v>
      </c>
      <c r="L504" s="1" t="str">
        <f t="shared" si="22"/>
        <v>High</v>
      </c>
      <c r="M504" s="1" t="str">
        <f t="shared" si="23"/>
        <v>Yes</v>
      </c>
    </row>
    <row r="505" spans="1:13" x14ac:dyDescent="0.35">
      <c r="A505">
        <v>512</v>
      </c>
      <c r="B505">
        <v>65</v>
      </c>
      <c r="C505" t="s">
        <v>15</v>
      </c>
      <c r="D505" t="s">
        <v>16</v>
      </c>
      <c r="E505" t="s">
        <v>17</v>
      </c>
      <c r="F505">
        <v>2000</v>
      </c>
      <c r="G505">
        <v>37</v>
      </c>
      <c r="H505" t="s">
        <v>13</v>
      </c>
      <c r="I505" t="s">
        <v>19</v>
      </c>
      <c r="J505">
        <v>3</v>
      </c>
      <c r="K505" s="1" t="str">
        <f t="shared" si="21"/>
        <v>60-74</v>
      </c>
      <c r="L505" s="1" t="str">
        <f t="shared" si="22"/>
        <v>Medium</v>
      </c>
      <c r="M505" s="1" t="str">
        <f t="shared" si="23"/>
        <v>No</v>
      </c>
    </row>
    <row r="506" spans="1:13" x14ac:dyDescent="0.35">
      <c r="A506">
        <v>513</v>
      </c>
      <c r="B506">
        <v>30</v>
      </c>
      <c r="C506" t="s">
        <v>10</v>
      </c>
      <c r="D506" t="s">
        <v>20</v>
      </c>
      <c r="E506" t="s">
        <v>21</v>
      </c>
      <c r="F506">
        <v>500</v>
      </c>
      <c r="G506">
        <v>35</v>
      </c>
      <c r="H506" t="s">
        <v>13</v>
      </c>
      <c r="I506" t="s">
        <v>14</v>
      </c>
      <c r="J506">
        <v>5</v>
      </c>
      <c r="K506" s="1" t="str">
        <f t="shared" si="21"/>
        <v>30-44</v>
      </c>
      <c r="L506" s="1" t="str">
        <f t="shared" si="22"/>
        <v>Low</v>
      </c>
      <c r="M506" s="1" t="str">
        <f t="shared" si="23"/>
        <v>Yes</v>
      </c>
    </row>
    <row r="507" spans="1:13" x14ac:dyDescent="0.35">
      <c r="A507">
        <v>514</v>
      </c>
      <c r="B507">
        <v>70</v>
      </c>
      <c r="C507" t="s">
        <v>15</v>
      </c>
      <c r="D507" t="s">
        <v>22</v>
      </c>
      <c r="E507" t="s">
        <v>23</v>
      </c>
      <c r="F507">
        <v>10000</v>
      </c>
      <c r="G507">
        <v>42</v>
      </c>
      <c r="H507" t="s">
        <v>18</v>
      </c>
      <c r="I507" t="s">
        <v>19</v>
      </c>
      <c r="J507">
        <v>2</v>
      </c>
      <c r="K507" s="1" t="str">
        <f t="shared" si="21"/>
        <v>60-74</v>
      </c>
      <c r="L507" s="1" t="str">
        <f t="shared" si="22"/>
        <v>High</v>
      </c>
      <c r="M507" s="1" t="str">
        <f t="shared" si="23"/>
        <v>No</v>
      </c>
    </row>
    <row r="508" spans="1:13" x14ac:dyDescent="0.35">
      <c r="A508">
        <v>515</v>
      </c>
      <c r="B508">
        <v>55</v>
      </c>
      <c r="C508" t="s">
        <v>10</v>
      </c>
      <c r="D508" t="s">
        <v>24</v>
      </c>
      <c r="E508" t="s">
        <v>25</v>
      </c>
      <c r="F508">
        <v>25000</v>
      </c>
      <c r="G508">
        <v>44</v>
      </c>
      <c r="H508" t="s">
        <v>13</v>
      </c>
      <c r="I508" t="s">
        <v>14</v>
      </c>
      <c r="J508">
        <v>4</v>
      </c>
      <c r="K508" s="1" t="str">
        <f t="shared" si="21"/>
        <v>45-59</v>
      </c>
      <c r="L508" s="1" t="str">
        <f t="shared" si="22"/>
        <v>High</v>
      </c>
      <c r="M508" s="1" t="str">
        <f t="shared" si="23"/>
        <v>Yes</v>
      </c>
    </row>
    <row r="509" spans="1:13" x14ac:dyDescent="0.35">
      <c r="A509">
        <v>516</v>
      </c>
      <c r="B509">
        <v>68</v>
      </c>
      <c r="C509" t="s">
        <v>15</v>
      </c>
      <c r="D509" t="s">
        <v>26</v>
      </c>
      <c r="E509" t="s">
        <v>27</v>
      </c>
      <c r="F509">
        <v>1000</v>
      </c>
      <c r="G509">
        <v>36</v>
      </c>
      <c r="H509" t="s">
        <v>13</v>
      </c>
      <c r="I509" t="s">
        <v>19</v>
      </c>
      <c r="J509">
        <v>4</v>
      </c>
      <c r="K509" s="1" t="str">
        <f t="shared" si="21"/>
        <v>60-74</v>
      </c>
      <c r="L509" s="1" t="str">
        <f t="shared" si="22"/>
        <v>Low</v>
      </c>
      <c r="M509" s="1" t="str">
        <f t="shared" si="23"/>
        <v>Yes</v>
      </c>
    </row>
    <row r="510" spans="1:13" x14ac:dyDescent="0.35">
      <c r="A510">
        <v>517</v>
      </c>
      <c r="B510">
        <v>45</v>
      </c>
      <c r="C510" t="s">
        <v>10</v>
      </c>
      <c r="D510" t="s">
        <v>28</v>
      </c>
      <c r="E510" t="s">
        <v>29</v>
      </c>
      <c r="F510">
        <v>8000</v>
      </c>
      <c r="G510">
        <v>38</v>
      </c>
      <c r="H510" t="s">
        <v>13</v>
      </c>
      <c r="I510" t="s">
        <v>14</v>
      </c>
      <c r="J510">
        <v>3</v>
      </c>
      <c r="K510" s="1" t="str">
        <f t="shared" si="21"/>
        <v>45-59</v>
      </c>
      <c r="L510" s="1" t="str">
        <f t="shared" si="22"/>
        <v>Medium</v>
      </c>
      <c r="M510" s="1" t="str">
        <f t="shared" si="23"/>
        <v>No</v>
      </c>
    </row>
    <row r="511" spans="1:13" x14ac:dyDescent="0.35">
      <c r="A511">
        <v>518</v>
      </c>
      <c r="B511">
        <v>40</v>
      </c>
      <c r="C511" t="s">
        <v>15</v>
      </c>
      <c r="D511" t="s">
        <v>30</v>
      </c>
      <c r="E511" t="s">
        <v>31</v>
      </c>
      <c r="F511">
        <v>3000</v>
      </c>
      <c r="G511">
        <v>40</v>
      </c>
      <c r="H511" t="s">
        <v>13</v>
      </c>
      <c r="I511" t="s">
        <v>14</v>
      </c>
      <c r="J511">
        <v>4</v>
      </c>
      <c r="K511" s="1" t="str">
        <f t="shared" si="21"/>
        <v>30-44</v>
      </c>
      <c r="L511" s="1" t="str">
        <f t="shared" si="22"/>
        <v>Medium</v>
      </c>
      <c r="M511" s="1" t="str">
        <f t="shared" si="23"/>
        <v>Yes</v>
      </c>
    </row>
    <row r="512" spans="1:13" x14ac:dyDescent="0.35">
      <c r="A512">
        <v>519</v>
      </c>
      <c r="B512">
        <v>78</v>
      </c>
      <c r="C512" t="s">
        <v>10</v>
      </c>
      <c r="D512" t="s">
        <v>32</v>
      </c>
      <c r="E512" t="s">
        <v>33</v>
      </c>
      <c r="F512">
        <v>18000</v>
      </c>
      <c r="G512">
        <v>42</v>
      </c>
      <c r="H512" t="s">
        <v>18</v>
      </c>
      <c r="I512" t="s">
        <v>19</v>
      </c>
      <c r="J512">
        <v>2</v>
      </c>
      <c r="K512" s="1" t="str">
        <f t="shared" si="21"/>
        <v>75+</v>
      </c>
      <c r="L512" s="1" t="str">
        <f t="shared" si="22"/>
        <v>High</v>
      </c>
      <c r="M512" s="1" t="str">
        <f t="shared" si="23"/>
        <v>No</v>
      </c>
    </row>
    <row r="513" spans="1:13" x14ac:dyDescent="0.35">
      <c r="A513">
        <v>520</v>
      </c>
      <c r="B513">
        <v>25</v>
      </c>
      <c r="C513" t="s">
        <v>15</v>
      </c>
      <c r="D513" t="s">
        <v>34</v>
      </c>
      <c r="E513" t="s">
        <v>35</v>
      </c>
      <c r="F513">
        <v>100</v>
      </c>
      <c r="G513">
        <v>35</v>
      </c>
      <c r="H513" t="s">
        <v>13</v>
      </c>
      <c r="I513" t="s">
        <v>14</v>
      </c>
      <c r="J513">
        <v>5</v>
      </c>
      <c r="K513" s="1" t="str">
        <f t="shared" si="21"/>
        <v>18-29</v>
      </c>
      <c r="L513" s="1" t="str">
        <f t="shared" si="22"/>
        <v>Low</v>
      </c>
      <c r="M513" s="1" t="str">
        <f t="shared" si="23"/>
        <v>Yes</v>
      </c>
    </row>
    <row r="514" spans="1:13" x14ac:dyDescent="0.35">
      <c r="A514">
        <v>521</v>
      </c>
      <c r="B514">
        <v>52</v>
      </c>
      <c r="C514" t="s">
        <v>10</v>
      </c>
      <c r="D514" t="s">
        <v>36</v>
      </c>
      <c r="E514" t="s">
        <v>37</v>
      </c>
      <c r="F514">
        <v>800</v>
      </c>
      <c r="G514">
        <v>36</v>
      </c>
      <c r="H514" t="s">
        <v>13</v>
      </c>
      <c r="I514" t="s">
        <v>19</v>
      </c>
      <c r="J514">
        <v>4</v>
      </c>
      <c r="K514" s="1" t="str">
        <f t="shared" si="21"/>
        <v>45-59</v>
      </c>
      <c r="L514" s="1" t="str">
        <f t="shared" si="22"/>
        <v>Low</v>
      </c>
      <c r="M514" s="1" t="str">
        <f t="shared" si="23"/>
        <v>Yes</v>
      </c>
    </row>
    <row r="515" spans="1:13" x14ac:dyDescent="0.35">
      <c r="A515">
        <v>522</v>
      </c>
      <c r="B515">
        <v>58</v>
      </c>
      <c r="C515" t="s">
        <v>15</v>
      </c>
      <c r="D515" t="s">
        <v>38</v>
      </c>
      <c r="E515" t="s">
        <v>39</v>
      </c>
      <c r="F515">
        <v>20000</v>
      </c>
      <c r="G515">
        <v>43</v>
      </c>
      <c r="H515" t="s">
        <v>13</v>
      </c>
      <c r="I515" t="s">
        <v>14</v>
      </c>
      <c r="J515">
        <v>3</v>
      </c>
      <c r="K515" s="1" t="str">
        <f t="shared" ref="K515:K578" si="24">IF(B515&lt;30,"18-29",IF(B515&lt;45,"30-44",IF(B515&lt;60,"45-59",IF(B515&lt;75,"60-74","75+"))))</f>
        <v>45-59</v>
      </c>
      <c r="L515" s="1" t="str">
        <f t="shared" ref="L515:L578" si="25">IF(F515&lt;=1000,"Low",IF(F515&lt;=8000,"Medium","High"))</f>
        <v>High</v>
      </c>
      <c r="M515" s="1" t="str">
        <f t="shared" ref="M515:M578" si="26">IF(J515&gt;=4,"Yes","No")</f>
        <v>No</v>
      </c>
    </row>
    <row r="516" spans="1:13" x14ac:dyDescent="0.35">
      <c r="A516">
        <v>523</v>
      </c>
      <c r="B516">
        <v>32</v>
      </c>
      <c r="C516" t="s">
        <v>10</v>
      </c>
      <c r="D516" t="s">
        <v>40</v>
      </c>
      <c r="E516" t="s">
        <v>41</v>
      </c>
      <c r="F516">
        <v>12000</v>
      </c>
      <c r="G516">
        <v>37</v>
      </c>
      <c r="H516" t="s">
        <v>13</v>
      </c>
      <c r="I516" t="s">
        <v>14</v>
      </c>
      <c r="J516">
        <v>4</v>
      </c>
      <c r="K516" s="1" t="str">
        <f t="shared" si="24"/>
        <v>30-44</v>
      </c>
      <c r="L516" s="1" t="str">
        <f t="shared" si="25"/>
        <v>High</v>
      </c>
      <c r="M516" s="1" t="str">
        <f t="shared" si="26"/>
        <v>Yes</v>
      </c>
    </row>
    <row r="517" spans="1:13" x14ac:dyDescent="0.35">
      <c r="A517">
        <v>524</v>
      </c>
      <c r="B517">
        <v>55</v>
      </c>
      <c r="C517" t="s">
        <v>15</v>
      </c>
      <c r="D517" t="s">
        <v>42</v>
      </c>
      <c r="E517" t="s">
        <v>43</v>
      </c>
      <c r="F517">
        <v>6000</v>
      </c>
      <c r="G517">
        <v>38</v>
      </c>
      <c r="H517" t="s">
        <v>13</v>
      </c>
      <c r="I517" t="s">
        <v>14</v>
      </c>
      <c r="J517">
        <v>3</v>
      </c>
      <c r="K517" s="1" t="str">
        <f t="shared" si="24"/>
        <v>45-59</v>
      </c>
      <c r="L517" s="1" t="str">
        <f t="shared" si="25"/>
        <v>Medium</v>
      </c>
      <c r="M517" s="1" t="str">
        <f t="shared" si="26"/>
        <v>No</v>
      </c>
    </row>
    <row r="518" spans="1:13" x14ac:dyDescent="0.35">
      <c r="A518">
        <v>525</v>
      </c>
      <c r="B518">
        <v>65</v>
      </c>
      <c r="C518" t="s">
        <v>10</v>
      </c>
      <c r="D518" t="s">
        <v>44</v>
      </c>
      <c r="E518" t="s">
        <v>45</v>
      </c>
      <c r="F518">
        <v>4000</v>
      </c>
      <c r="G518">
        <v>39</v>
      </c>
      <c r="H518" t="s">
        <v>13</v>
      </c>
      <c r="I518" t="s">
        <v>19</v>
      </c>
      <c r="J518">
        <v>4</v>
      </c>
      <c r="K518" s="1" t="str">
        <f t="shared" si="24"/>
        <v>60-74</v>
      </c>
      <c r="L518" s="1" t="str">
        <f t="shared" si="25"/>
        <v>Medium</v>
      </c>
      <c r="M518" s="1" t="str">
        <f t="shared" si="26"/>
        <v>Yes</v>
      </c>
    </row>
    <row r="519" spans="1:13" x14ac:dyDescent="0.35">
      <c r="A519">
        <v>526</v>
      </c>
      <c r="B519">
        <v>55</v>
      </c>
      <c r="C519" t="s">
        <v>10</v>
      </c>
      <c r="D519" t="s">
        <v>11</v>
      </c>
      <c r="E519" t="s">
        <v>12</v>
      </c>
      <c r="F519">
        <v>15000</v>
      </c>
      <c r="G519">
        <v>40</v>
      </c>
      <c r="H519" t="s">
        <v>18</v>
      </c>
      <c r="I519" t="s">
        <v>14</v>
      </c>
      <c r="J519">
        <v>3</v>
      </c>
      <c r="K519" s="1" t="str">
        <f t="shared" si="24"/>
        <v>45-59</v>
      </c>
      <c r="L519" s="1" t="str">
        <f t="shared" si="25"/>
        <v>High</v>
      </c>
      <c r="M519" s="1" t="str">
        <f t="shared" si="26"/>
        <v>No</v>
      </c>
    </row>
    <row r="520" spans="1:13" x14ac:dyDescent="0.35">
      <c r="A520">
        <v>527</v>
      </c>
      <c r="B520">
        <v>62</v>
      </c>
      <c r="C520" t="s">
        <v>15</v>
      </c>
      <c r="D520" t="s">
        <v>16</v>
      </c>
      <c r="E520" t="s">
        <v>17</v>
      </c>
      <c r="F520">
        <v>2000</v>
      </c>
      <c r="G520">
        <v>38</v>
      </c>
      <c r="H520" t="s">
        <v>13</v>
      </c>
      <c r="I520" t="s">
        <v>19</v>
      </c>
      <c r="J520">
        <v>4</v>
      </c>
      <c r="K520" s="1" t="str">
        <f t="shared" si="24"/>
        <v>60-74</v>
      </c>
      <c r="L520" s="1" t="str">
        <f t="shared" si="25"/>
        <v>Medium</v>
      </c>
      <c r="M520" s="1" t="str">
        <f t="shared" si="26"/>
        <v>Yes</v>
      </c>
    </row>
    <row r="521" spans="1:13" x14ac:dyDescent="0.35">
      <c r="A521">
        <v>528</v>
      </c>
      <c r="B521">
        <v>35</v>
      </c>
      <c r="C521" t="s">
        <v>10</v>
      </c>
      <c r="D521" t="s">
        <v>20</v>
      </c>
      <c r="E521" t="s">
        <v>21</v>
      </c>
      <c r="F521">
        <v>500</v>
      </c>
      <c r="G521">
        <v>36</v>
      </c>
      <c r="H521" t="s">
        <v>18</v>
      </c>
      <c r="I521" t="s">
        <v>14</v>
      </c>
      <c r="J521">
        <v>5</v>
      </c>
      <c r="K521" s="1" t="str">
        <f t="shared" si="24"/>
        <v>30-44</v>
      </c>
      <c r="L521" s="1" t="str">
        <f t="shared" si="25"/>
        <v>Low</v>
      </c>
      <c r="M521" s="1" t="str">
        <f t="shared" si="26"/>
        <v>Yes</v>
      </c>
    </row>
    <row r="522" spans="1:13" x14ac:dyDescent="0.35">
      <c r="A522">
        <v>529</v>
      </c>
      <c r="B522">
        <v>78</v>
      </c>
      <c r="C522" t="s">
        <v>15</v>
      </c>
      <c r="D522" t="s">
        <v>22</v>
      </c>
      <c r="E522" t="s">
        <v>23</v>
      </c>
      <c r="F522">
        <v>10000</v>
      </c>
      <c r="G522">
        <v>43</v>
      </c>
      <c r="H522" t="s">
        <v>13</v>
      </c>
      <c r="I522" t="s">
        <v>19</v>
      </c>
      <c r="J522">
        <v>2</v>
      </c>
      <c r="K522" s="1" t="str">
        <f t="shared" si="24"/>
        <v>75+</v>
      </c>
      <c r="L522" s="1" t="str">
        <f t="shared" si="25"/>
        <v>High</v>
      </c>
      <c r="M522" s="1" t="str">
        <f t="shared" si="26"/>
        <v>No</v>
      </c>
    </row>
    <row r="523" spans="1:13" x14ac:dyDescent="0.35">
      <c r="A523">
        <v>530</v>
      </c>
      <c r="B523">
        <v>53</v>
      </c>
      <c r="C523" t="s">
        <v>10</v>
      </c>
      <c r="D523" t="s">
        <v>24</v>
      </c>
      <c r="E523" t="s">
        <v>25</v>
      </c>
      <c r="F523">
        <v>25000</v>
      </c>
      <c r="G523">
        <v>45</v>
      </c>
      <c r="H523" t="s">
        <v>18</v>
      </c>
      <c r="I523" t="s">
        <v>14</v>
      </c>
      <c r="J523">
        <v>4</v>
      </c>
      <c r="K523" s="1" t="str">
        <f t="shared" si="24"/>
        <v>45-59</v>
      </c>
      <c r="L523" s="1" t="str">
        <f t="shared" si="25"/>
        <v>High</v>
      </c>
      <c r="M523" s="1" t="str">
        <f t="shared" si="26"/>
        <v>Yes</v>
      </c>
    </row>
    <row r="524" spans="1:13" x14ac:dyDescent="0.35">
      <c r="A524">
        <v>531</v>
      </c>
      <c r="B524">
        <v>72</v>
      </c>
      <c r="C524" t="s">
        <v>15</v>
      </c>
      <c r="D524" t="s">
        <v>26</v>
      </c>
      <c r="E524" t="s">
        <v>27</v>
      </c>
      <c r="F524">
        <v>1000</v>
      </c>
      <c r="G524">
        <v>38</v>
      </c>
      <c r="H524" t="s">
        <v>13</v>
      </c>
      <c r="I524" t="s">
        <v>19</v>
      </c>
      <c r="J524">
        <v>4</v>
      </c>
      <c r="K524" s="1" t="str">
        <f t="shared" si="24"/>
        <v>60-74</v>
      </c>
      <c r="L524" s="1" t="str">
        <f t="shared" si="25"/>
        <v>Low</v>
      </c>
      <c r="M524" s="1" t="str">
        <f t="shared" si="26"/>
        <v>Yes</v>
      </c>
    </row>
    <row r="525" spans="1:13" x14ac:dyDescent="0.35">
      <c r="A525">
        <v>532</v>
      </c>
      <c r="B525">
        <v>60</v>
      </c>
      <c r="C525" t="s">
        <v>10</v>
      </c>
      <c r="D525" t="s">
        <v>28</v>
      </c>
      <c r="E525" t="s">
        <v>29</v>
      </c>
      <c r="F525">
        <v>8000</v>
      </c>
      <c r="G525">
        <v>39</v>
      </c>
      <c r="H525" t="s">
        <v>18</v>
      </c>
      <c r="I525" t="s">
        <v>14</v>
      </c>
      <c r="J525">
        <v>3</v>
      </c>
      <c r="K525" s="1" t="str">
        <f t="shared" si="24"/>
        <v>60-74</v>
      </c>
      <c r="L525" s="1" t="str">
        <f t="shared" si="25"/>
        <v>Medium</v>
      </c>
      <c r="M525" s="1" t="str">
        <f t="shared" si="26"/>
        <v>No</v>
      </c>
    </row>
    <row r="526" spans="1:13" x14ac:dyDescent="0.35">
      <c r="A526">
        <v>533</v>
      </c>
      <c r="B526">
        <v>45</v>
      </c>
      <c r="C526" t="s">
        <v>15</v>
      </c>
      <c r="D526" t="s">
        <v>30</v>
      </c>
      <c r="E526" t="s">
        <v>31</v>
      </c>
      <c r="F526">
        <v>3000</v>
      </c>
      <c r="G526">
        <v>41</v>
      </c>
      <c r="H526" t="s">
        <v>13</v>
      </c>
      <c r="I526" t="s">
        <v>14</v>
      </c>
      <c r="J526">
        <v>4</v>
      </c>
      <c r="K526" s="1" t="str">
        <f t="shared" si="24"/>
        <v>45-59</v>
      </c>
      <c r="L526" s="1" t="str">
        <f t="shared" si="25"/>
        <v>Medium</v>
      </c>
      <c r="M526" s="1" t="str">
        <f t="shared" si="26"/>
        <v>Yes</v>
      </c>
    </row>
    <row r="527" spans="1:13" x14ac:dyDescent="0.35">
      <c r="A527">
        <v>534</v>
      </c>
      <c r="B527">
        <v>75</v>
      </c>
      <c r="C527" t="s">
        <v>10</v>
      </c>
      <c r="D527" t="s">
        <v>32</v>
      </c>
      <c r="E527" t="s">
        <v>33</v>
      </c>
      <c r="F527">
        <v>18000</v>
      </c>
      <c r="G527">
        <v>43</v>
      </c>
      <c r="H527" t="s">
        <v>18</v>
      </c>
      <c r="I527" t="s">
        <v>19</v>
      </c>
      <c r="J527">
        <v>2</v>
      </c>
      <c r="K527" s="1" t="str">
        <f t="shared" si="24"/>
        <v>75+</v>
      </c>
      <c r="L527" s="1" t="str">
        <f t="shared" si="25"/>
        <v>High</v>
      </c>
      <c r="M527" s="1" t="str">
        <f t="shared" si="26"/>
        <v>No</v>
      </c>
    </row>
    <row r="528" spans="1:13" x14ac:dyDescent="0.35">
      <c r="A528">
        <v>535</v>
      </c>
      <c r="B528">
        <v>28</v>
      </c>
      <c r="C528" t="s">
        <v>15</v>
      </c>
      <c r="D528" t="s">
        <v>34</v>
      </c>
      <c r="E528" t="s">
        <v>35</v>
      </c>
      <c r="F528">
        <v>100</v>
      </c>
      <c r="G528">
        <v>36</v>
      </c>
      <c r="H528" t="s">
        <v>13</v>
      </c>
      <c r="I528" t="s">
        <v>14</v>
      </c>
      <c r="J528">
        <v>5</v>
      </c>
      <c r="K528" s="1" t="str">
        <f t="shared" si="24"/>
        <v>18-29</v>
      </c>
      <c r="L528" s="1" t="str">
        <f t="shared" si="25"/>
        <v>Low</v>
      </c>
      <c r="M528" s="1" t="str">
        <f t="shared" si="26"/>
        <v>Yes</v>
      </c>
    </row>
    <row r="529" spans="1:13" x14ac:dyDescent="0.35">
      <c r="A529">
        <v>536</v>
      </c>
      <c r="B529">
        <v>52</v>
      </c>
      <c r="C529" t="s">
        <v>10</v>
      </c>
      <c r="D529" t="s">
        <v>36</v>
      </c>
      <c r="E529" t="s">
        <v>37</v>
      </c>
      <c r="F529">
        <v>800</v>
      </c>
      <c r="G529">
        <v>37</v>
      </c>
      <c r="H529" t="s">
        <v>13</v>
      </c>
      <c r="I529" t="s">
        <v>19</v>
      </c>
      <c r="J529">
        <v>4</v>
      </c>
      <c r="K529" s="1" t="str">
        <f t="shared" si="24"/>
        <v>45-59</v>
      </c>
      <c r="L529" s="1" t="str">
        <f t="shared" si="25"/>
        <v>Low</v>
      </c>
      <c r="M529" s="1" t="str">
        <f t="shared" si="26"/>
        <v>Yes</v>
      </c>
    </row>
    <row r="530" spans="1:13" x14ac:dyDescent="0.35">
      <c r="A530">
        <v>537</v>
      </c>
      <c r="B530">
        <v>67</v>
      </c>
      <c r="C530" t="s">
        <v>15</v>
      </c>
      <c r="D530" t="s">
        <v>38</v>
      </c>
      <c r="E530" t="s">
        <v>39</v>
      </c>
      <c r="F530">
        <v>20000</v>
      </c>
      <c r="G530">
        <v>44</v>
      </c>
      <c r="H530" t="s">
        <v>13</v>
      </c>
      <c r="I530" t="s">
        <v>14</v>
      </c>
      <c r="J530">
        <v>3</v>
      </c>
      <c r="K530" s="1" t="str">
        <f t="shared" si="24"/>
        <v>60-74</v>
      </c>
      <c r="L530" s="1" t="str">
        <f t="shared" si="25"/>
        <v>High</v>
      </c>
      <c r="M530" s="1" t="str">
        <f t="shared" si="26"/>
        <v>No</v>
      </c>
    </row>
    <row r="531" spans="1:13" x14ac:dyDescent="0.35">
      <c r="A531">
        <v>538</v>
      </c>
      <c r="B531">
        <v>35</v>
      </c>
      <c r="C531" t="s">
        <v>10</v>
      </c>
      <c r="D531" t="s">
        <v>40</v>
      </c>
      <c r="E531" t="s">
        <v>41</v>
      </c>
      <c r="F531">
        <v>12000</v>
      </c>
      <c r="G531">
        <v>38</v>
      </c>
      <c r="H531" t="s">
        <v>13</v>
      </c>
      <c r="I531" t="s">
        <v>14</v>
      </c>
      <c r="J531">
        <v>4</v>
      </c>
      <c r="K531" s="1" t="str">
        <f t="shared" si="24"/>
        <v>30-44</v>
      </c>
      <c r="L531" s="1" t="str">
        <f t="shared" si="25"/>
        <v>High</v>
      </c>
      <c r="M531" s="1" t="str">
        <f t="shared" si="26"/>
        <v>Yes</v>
      </c>
    </row>
    <row r="532" spans="1:13" x14ac:dyDescent="0.35">
      <c r="A532">
        <v>540</v>
      </c>
      <c r="B532">
        <v>60</v>
      </c>
      <c r="C532" t="s">
        <v>10</v>
      </c>
      <c r="D532" t="s">
        <v>44</v>
      </c>
      <c r="E532" t="s">
        <v>45</v>
      </c>
      <c r="F532">
        <v>4000</v>
      </c>
      <c r="G532">
        <v>40</v>
      </c>
      <c r="H532" t="s">
        <v>13</v>
      </c>
      <c r="I532" t="s">
        <v>19</v>
      </c>
      <c r="J532">
        <v>4</v>
      </c>
      <c r="K532" s="1" t="str">
        <f t="shared" si="24"/>
        <v>60-74</v>
      </c>
      <c r="L532" s="1" t="str">
        <f t="shared" si="25"/>
        <v>Medium</v>
      </c>
      <c r="M532" s="1" t="str">
        <f t="shared" si="26"/>
        <v>Yes</v>
      </c>
    </row>
    <row r="533" spans="1:13" x14ac:dyDescent="0.35">
      <c r="A533">
        <v>541</v>
      </c>
      <c r="B533">
        <v>48</v>
      </c>
      <c r="C533" t="s">
        <v>10</v>
      </c>
      <c r="D533" t="s">
        <v>11</v>
      </c>
      <c r="E533" t="s">
        <v>12</v>
      </c>
      <c r="F533">
        <v>15000</v>
      </c>
      <c r="G533">
        <v>41</v>
      </c>
      <c r="H533" t="s">
        <v>18</v>
      </c>
      <c r="I533" t="s">
        <v>14</v>
      </c>
      <c r="J533">
        <v>4</v>
      </c>
      <c r="K533" s="1" t="str">
        <f t="shared" si="24"/>
        <v>45-59</v>
      </c>
      <c r="L533" s="1" t="str">
        <f t="shared" si="25"/>
        <v>High</v>
      </c>
      <c r="M533" s="1" t="str">
        <f t="shared" si="26"/>
        <v>Yes</v>
      </c>
    </row>
    <row r="534" spans="1:13" x14ac:dyDescent="0.35">
      <c r="A534">
        <v>542</v>
      </c>
      <c r="B534">
        <v>65</v>
      </c>
      <c r="C534" t="s">
        <v>15</v>
      </c>
      <c r="D534" t="s">
        <v>16</v>
      </c>
      <c r="E534" t="s">
        <v>17</v>
      </c>
      <c r="F534">
        <v>2000</v>
      </c>
      <c r="G534">
        <v>39</v>
      </c>
      <c r="H534" t="s">
        <v>13</v>
      </c>
      <c r="I534" t="s">
        <v>19</v>
      </c>
      <c r="J534">
        <v>3</v>
      </c>
      <c r="K534" s="1" t="str">
        <f t="shared" si="24"/>
        <v>60-74</v>
      </c>
      <c r="L534" s="1" t="str">
        <f t="shared" si="25"/>
        <v>Medium</v>
      </c>
      <c r="M534" s="1" t="str">
        <f t="shared" si="26"/>
        <v>No</v>
      </c>
    </row>
    <row r="535" spans="1:13" x14ac:dyDescent="0.35">
      <c r="A535">
        <v>543</v>
      </c>
      <c r="B535">
        <v>30</v>
      </c>
      <c r="C535" t="s">
        <v>10</v>
      </c>
      <c r="D535" t="s">
        <v>20</v>
      </c>
      <c r="E535" t="s">
        <v>21</v>
      </c>
      <c r="F535">
        <v>500</v>
      </c>
      <c r="G535">
        <v>37</v>
      </c>
      <c r="H535" t="s">
        <v>13</v>
      </c>
      <c r="I535" t="s">
        <v>14</v>
      </c>
      <c r="J535">
        <v>5</v>
      </c>
      <c r="K535" s="1" t="str">
        <f t="shared" si="24"/>
        <v>30-44</v>
      </c>
      <c r="L535" s="1" t="str">
        <f t="shared" si="25"/>
        <v>Low</v>
      </c>
      <c r="M535" s="1" t="str">
        <f t="shared" si="26"/>
        <v>Yes</v>
      </c>
    </row>
    <row r="536" spans="1:13" x14ac:dyDescent="0.35">
      <c r="A536">
        <v>544</v>
      </c>
      <c r="B536">
        <v>70</v>
      </c>
      <c r="C536" t="s">
        <v>15</v>
      </c>
      <c r="D536" t="s">
        <v>22</v>
      </c>
      <c r="E536" t="s">
        <v>23</v>
      </c>
      <c r="F536">
        <v>10000</v>
      </c>
      <c r="G536">
        <v>44</v>
      </c>
      <c r="H536" t="s">
        <v>18</v>
      </c>
      <c r="I536" t="s">
        <v>19</v>
      </c>
      <c r="J536">
        <v>2</v>
      </c>
      <c r="K536" s="1" t="str">
        <f t="shared" si="24"/>
        <v>60-74</v>
      </c>
      <c r="L536" s="1" t="str">
        <f t="shared" si="25"/>
        <v>High</v>
      </c>
      <c r="M536" s="1" t="str">
        <f t="shared" si="26"/>
        <v>No</v>
      </c>
    </row>
    <row r="537" spans="1:13" x14ac:dyDescent="0.35">
      <c r="A537">
        <v>545</v>
      </c>
      <c r="B537">
        <v>55</v>
      </c>
      <c r="C537" t="s">
        <v>10</v>
      </c>
      <c r="D537" t="s">
        <v>24</v>
      </c>
      <c r="E537" t="s">
        <v>25</v>
      </c>
      <c r="F537">
        <v>25000</v>
      </c>
      <c r="G537">
        <v>46</v>
      </c>
      <c r="H537" t="s">
        <v>13</v>
      </c>
      <c r="I537" t="s">
        <v>14</v>
      </c>
      <c r="J537">
        <v>4</v>
      </c>
      <c r="K537" s="1" t="str">
        <f t="shared" si="24"/>
        <v>45-59</v>
      </c>
      <c r="L537" s="1" t="str">
        <f t="shared" si="25"/>
        <v>High</v>
      </c>
      <c r="M537" s="1" t="str">
        <f t="shared" si="26"/>
        <v>Yes</v>
      </c>
    </row>
    <row r="538" spans="1:13" x14ac:dyDescent="0.35">
      <c r="A538">
        <v>546</v>
      </c>
      <c r="B538">
        <v>68</v>
      </c>
      <c r="C538" t="s">
        <v>15</v>
      </c>
      <c r="D538" t="s">
        <v>26</v>
      </c>
      <c r="E538" t="s">
        <v>27</v>
      </c>
      <c r="F538">
        <v>1000</v>
      </c>
      <c r="G538">
        <v>40</v>
      </c>
      <c r="H538" t="s">
        <v>13</v>
      </c>
      <c r="I538" t="s">
        <v>19</v>
      </c>
      <c r="J538">
        <v>4</v>
      </c>
      <c r="K538" s="1" t="str">
        <f t="shared" si="24"/>
        <v>60-74</v>
      </c>
      <c r="L538" s="1" t="str">
        <f t="shared" si="25"/>
        <v>Low</v>
      </c>
      <c r="M538" s="1" t="str">
        <f t="shared" si="26"/>
        <v>Yes</v>
      </c>
    </row>
    <row r="539" spans="1:13" x14ac:dyDescent="0.35">
      <c r="A539">
        <v>547</v>
      </c>
      <c r="B539">
        <v>45</v>
      </c>
      <c r="C539" t="s">
        <v>10</v>
      </c>
      <c r="D539" t="s">
        <v>28</v>
      </c>
      <c r="E539" t="s">
        <v>29</v>
      </c>
      <c r="F539">
        <v>8000</v>
      </c>
      <c r="G539">
        <v>42</v>
      </c>
      <c r="H539" t="s">
        <v>13</v>
      </c>
      <c r="I539" t="s">
        <v>14</v>
      </c>
      <c r="J539">
        <v>3</v>
      </c>
      <c r="K539" s="1" t="str">
        <f t="shared" si="24"/>
        <v>45-59</v>
      </c>
      <c r="L539" s="1" t="str">
        <f t="shared" si="25"/>
        <v>Medium</v>
      </c>
      <c r="M539" s="1" t="str">
        <f t="shared" si="26"/>
        <v>No</v>
      </c>
    </row>
    <row r="540" spans="1:13" x14ac:dyDescent="0.35">
      <c r="A540">
        <v>548</v>
      </c>
      <c r="B540">
        <v>40</v>
      </c>
      <c r="C540" t="s">
        <v>15</v>
      </c>
      <c r="D540" t="s">
        <v>30</v>
      </c>
      <c r="E540" t="s">
        <v>31</v>
      </c>
      <c r="F540">
        <v>3000</v>
      </c>
      <c r="G540">
        <v>42</v>
      </c>
      <c r="H540" t="s">
        <v>13</v>
      </c>
      <c r="I540" t="s">
        <v>14</v>
      </c>
      <c r="J540">
        <v>4</v>
      </c>
      <c r="K540" s="1" t="str">
        <f t="shared" si="24"/>
        <v>30-44</v>
      </c>
      <c r="L540" s="1" t="str">
        <f t="shared" si="25"/>
        <v>Medium</v>
      </c>
      <c r="M540" s="1" t="str">
        <f t="shared" si="26"/>
        <v>Yes</v>
      </c>
    </row>
    <row r="541" spans="1:13" x14ac:dyDescent="0.35">
      <c r="A541">
        <v>549</v>
      </c>
      <c r="B541">
        <v>78</v>
      </c>
      <c r="C541" t="s">
        <v>10</v>
      </c>
      <c r="D541" t="s">
        <v>32</v>
      </c>
      <c r="E541" t="s">
        <v>33</v>
      </c>
      <c r="F541">
        <v>18000</v>
      </c>
      <c r="G541">
        <v>44</v>
      </c>
      <c r="H541" t="s">
        <v>18</v>
      </c>
      <c r="I541" t="s">
        <v>19</v>
      </c>
      <c r="J541">
        <v>2</v>
      </c>
      <c r="K541" s="1" t="str">
        <f t="shared" si="24"/>
        <v>75+</v>
      </c>
      <c r="L541" s="1" t="str">
        <f t="shared" si="25"/>
        <v>High</v>
      </c>
      <c r="M541" s="1" t="str">
        <f t="shared" si="26"/>
        <v>No</v>
      </c>
    </row>
    <row r="542" spans="1:13" x14ac:dyDescent="0.35">
      <c r="A542">
        <v>550</v>
      </c>
      <c r="B542">
        <v>25</v>
      </c>
      <c r="C542" t="s">
        <v>15</v>
      </c>
      <c r="D542" t="s">
        <v>34</v>
      </c>
      <c r="E542" t="s">
        <v>35</v>
      </c>
      <c r="F542">
        <v>100</v>
      </c>
      <c r="G542">
        <v>37</v>
      </c>
      <c r="H542" t="s">
        <v>13</v>
      </c>
      <c r="I542" t="s">
        <v>14</v>
      </c>
      <c r="J542">
        <v>5</v>
      </c>
      <c r="K542" s="1" t="str">
        <f t="shared" si="24"/>
        <v>18-29</v>
      </c>
      <c r="L542" s="1" t="str">
        <f t="shared" si="25"/>
        <v>Low</v>
      </c>
      <c r="M542" s="1" t="str">
        <f t="shared" si="26"/>
        <v>Yes</v>
      </c>
    </row>
    <row r="543" spans="1:13" x14ac:dyDescent="0.35">
      <c r="A543">
        <v>551</v>
      </c>
      <c r="B543">
        <v>52</v>
      </c>
      <c r="C543" t="s">
        <v>10</v>
      </c>
      <c r="D543" t="s">
        <v>36</v>
      </c>
      <c r="E543" t="s">
        <v>37</v>
      </c>
      <c r="F543">
        <v>800</v>
      </c>
      <c r="G543">
        <v>38</v>
      </c>
      <c r="H543" t="s">
        <v>13</v>
      </c>
      <c r="I543" t="s">
        <v>19</v>
      </c>
      <c r="J543">
        <v>4</v>
      </c>
      <c r="K543" s="1" t="str">
        <f t="shared" si="24"/>
        <v>45-59</v>
      </c>
      <c r="L543" s="1" t="str">
        <f t="shared" si="25"/>
        <v>Low</v>
      </c>
      <c r="M543" s="1" t="str">
        <f t="shared" si="26"/>
        <v>Yes</v>
      </c>
    </row>
    <row r="544" spans="1:13" x14ac:dyDescent="0.35">
      <c r="A544">
        <v>552</v>
      </c>
      <c r="B544">
        <v>58</v>
      </c>
      <c r="C544" t="s">
        <v>15</v>
      </c>
      <c r="D544" t="s">
        <v>38</v>
      </c>
      <c r="E544" t="s">
        <v>39</v>
      </c>
      <c r="F544">
        <v>20000</v>
      </c>
      <c r="G544">
        <v>45</v>
      </c>
      <c r="H544" t="s">
        <v>13</v>
      </c>
      <c r="I544" t="s">
        <v>14</v>
      </c>
      <c r="J544">
        <v>3</v>
      </c>
      <c r="K544" s="1" t="str">
        <f t="shared" si="24"/>
        <v>45-59</v>
      </c>
      <c r="L544" s="1" t="str">
        <f t="shared" si="25"/>
        <v>High</v>
      </c>
      <c r="M544" s="1" t="str">
        <f t="shared" si="26"/>
        <v>No</v>
      </c>
    </row>
    <row r="545" spans="1:13" x14ac:dyDescent="0.35">
      <c r="A545">
        <v>553</v>
      </c>
      <c r="B545">
        <v>32</v>
      </c>
      <c r="C545" t="s">
        <v>10</v>
      </c>
      <c r="D545" t="s">
        <v>40</v>
      </c>
      <c r="E545" t="s">
        <v>41</v>
      </c>
      <c r="F545">
        <v>12000</v>
      </c>
      <c r="G545">
        <v>39</v>
      </c>
      <c r="H545" t="s">
        <v>13</v>
      </c>
      <c r="I545" t="s">
        <v>14</v>
      </c>
      <c r="J545">
        <v>4</v>
      </c>
      <c r="K545" s="1" t="str">
        <f t="shared" si="24"/>
        <v>30-44</v>
      </c>
      <c r="L545" s="1" t="str">
        <f t="shared" si="25"/>
        <v>High</v>
      </c>
      <c r="M545" s="1" t="str">
        <f t="shared" si="26"/>
        <v>Yes</v>
      </c>
    </row>
    <row r="546" spans="1:13" x14ac:dyDescent="0.35">
      <c r="A546">
        <v>554</v>
      </c>
      <c r="B546">
        <v>55</v>
      </c>
      <c r="C546" t="s">
        <v>15</v>
      </c>
      <c r="D546" t="s">
        <v>42</v>
      </c>
      <c r="E546" t="s">
        <v>43</v>
      </c>
      <c r="F546">
        <v>6000</v>
      </c>
      <c r="G546">
        <v>40</v>
      </c>
      <c r="H546" t="s">
        <v>13</v>
      </c>
      <c r="I546" t="s">
        <v>14</v>
      </c>
      <c r="J546">
        <v>3</v>
      </c>
      <c r="K546" s="1" t="str">
        <f t="shared" si="24"/>
        <v>45-59</v>
      </c>
      <c r="L546" s="1" t="str">
        <f t="shared" si="25"/>
        <v>Medium</v>
      </c>
      <c r="M546" s="1" t="str">
        <f t="shared" si="26"/>
        <v>No</v>
      </c>
    </row>
    <row r="547" spans="1:13" x14ac:dyDescent="0.35">
      <c r="A547">
        <v>555</v>
      </c>
      <c r="B547">
        <v>65</v>
      </c>
      <c r="C547" t="s">
        <v>10</v>
      </c>
      <c r="D547" t="s">
        <v>44</v>
      </c>
      <c r="E547" t="s">
        <v>45</v>
      </c>
      <c r="F547">
        <v>4000</v>
      </c>
      <c r="G547">
        <v>41</v>
      </c>
      <c r="H547" t="s">
        <v>13</v>
      </c>
      <c r="I547" t="s">
        <v>19</v>
      </c>
      <c r="J547">
        <v>4</v>
      </c>
      <c r="K547" s="1" t="str">
        <f t="shared" si="24"/>
        <v>60-74</v>
      </c>
      <c r="L547" s="1" t="str">
        <f t="shared" si="25"/>
        <v>Medium</v>
      </c>
      <c r="M547" s="1" t="str">
        <f t="shared" si="26"/>
        <v>Yes</v>
      </c>
    </row>
    <row r="548" spans="1:13" x14ac:dyDescent="0.35">
      <c r="A548">
        <v>556</v>
      </c>
      <c r="B548">
        <v>55</v>
      </c>
      <c r="C548" t="s">
        <v>10</v>
      </c>
      <c r="D548" t="s">
        <v>11</v>
      </c>
      <c r="E548" t="s">
        <v>12</v>
      </c>
      <c r="F548">
        <v>15000</v>
      </c>
      <c r="G548">
        <v>42</v>
      </c>
      <c r="H548" t="s">
        <v>18</v>
      </c>
      <c r="I548" t="s">
        <v>14</v>
      </c>
      <c r="J548">
        <v>3</v>
      </c>
      <c r="K548" s="1" t="str">
        <f t="shared" si="24"/>
        <v>45-59</v>
      </c>
      <c r="L548" s="1" t="str">
        <f t="shared" si="25"/>
        <v>High</v>
      </c>
      <c r="M548" s="1" t="str">
        <f t="shared" si="26"/>
        <v>No</v>
      </c>
    </row>
    <row r="549" spans="1:13" x14ac:dyDescent="0.35">
      <c r="A549">
        <v>557</v>
      </c>
      <c r="B549">
        <v>62</v>
      </c>
      <c r="C549" t="s">
        <v>15</v>
      </c>
      <c r="D549" t="s">
        <v>16</v>
      </c>
      <c r="E549" t="s">
        <v>17</v>
      </c>
      <c r="F549">
        <v>2000</v>
      </c>
      <c r="G549">
        <v>40</v>
      </c>
      <c r="H549" t="s">
        <v>13</v>
      </c>
      <c r="I549" t="s">
        <v>19</v>
      </c>
      <c r="J549">
        <v>4</v>
      </c>
      <c r="K549" s="1" t="str">
        <f t="shared" si="24"/>
        <v>60-74</v>
      </c>
      <c r="L549" s="1" t="str">
        <f t="shared" si="25"/>
        <v>Medium</v>
      </c>
      <c r="M549" s="1" t="str">
        <f t="shared" si="26"/>
        <v>Yes</v>
      </c>
    </row>
    <row r="550" spans="1:13" x14ac:dyDescent="0.35">
      <c r="A550">
        <v>558</v>
      </c>
      <c r="B550">
        <v>35</v>
      </c>
      <c r="C550" t="s">
        <v>10</v>
      </c>
      <c r="D550" t="s">
        <v>20</v>
      </c>
      <c r="E550" t="s">
        <v>21</v>
      </c>
      <c r="F550">
        <v>500</v>
      </c>
      <c r="G550">
        <v>38</v>
      </c>
      <c r="H550" t="s">
        <v>18</v>
      </c>
      <c r="I550" t="s">
        <v>14</v>
      </c>
      <c r="J550">
        <v>5</v>
      </c>
      <c r="K550" s="1" t="str">
        <f t="shared" si="24"/>
        <v>30-44</v>
      </c>
      <c r="L550" s="1" t="str">
        <f t="shared" si="25"/>
        <v>Low</v>
      </c>
      <c r="M550" s="1" t="str">
        <f t="shared" si="26"/>
        <v>Yes</v>
      </c>
    </row>
    <row r="551" spans="1:13" x14ac:dyDescent="0.35">
      <c r="A551">
        <v>559</v>
      </c>
      <c r="B551">
        <v>78</v>
      </c>
      <c r="C551" t="s">
        <v>15</v>
      </c>
      <c r="D551" t="s">
        <v>22</v>
      </c>
      <c r="E551" t="s">
        <v>23</v>
      </c>
      <c r="F551">
        <v>10000</v>
      </c>
      <c r="G551">
        <v>45</v>
      </c>
      <c r="H551" t="s">
        <v>13</v>
      </c>
      <c r="I551" t="s">
        <v>19</v>
      </c>
      <c r="J551">
        <v>2</v>
      </c>
      <c r="K551" s="1" t="str">
        <f t="shared" si="24"/>
        <v>75+</v>
      </c>
      <c r="L551" s="1" t="str">
        <f t="shared" si="25"/>
        <v>High</v>
      </c>
      <c r="M551" s="1" t="str">
        <f t="shared" si="26"/>
        <v>No</v>
      </c>
    </row>
    <row r="552" spans="1:13" x14ac:dyDescent="0.35">
      <c r="A552">
        <v>560</v>
      </c>
      <c r="B552">
        <v>53</v>
      </c>
      <c r="C552" t="s">
        <v>10</v>
      </c>
      <c r="D552" t="s">
        <v>24</v>
      </c>
      <c r="E552" t="s">
        <v>25</v>
      </c>
      <c r="F552">
        <v>25000</v>
      </c>
      <c r="G552">
        <v>47</v>
      </c>
      <c r="H552" t="s">
        <v>18</v>
      </c>
      <c r="I552" t="s">
        <v>14</v>
      </c>
      <c r="J552">
        <v>4</v>
      </c>
      <c r="K552" s="1" t="str">
        <f t="shared" si="24"/>
        <v>45-59</v>
      </c>
      <c r="L552" s="1" t="str">
        <f t="shared" si="25"/>
        <v>High</v>
      </c>
      <c r="M552" s="1" t="str">
        <f t="shared" si="26"/>
        <v>Yes</v>
      </c>
    </row>
    <row r="553" spans="1:13" x14ac:dyDescent="0.35">
      <c r="A553">
        <v>561</v>
      </c>
      <c r="B553">
        <v>72</v>
      </c>
      <c r="C553" t="s">
        <v>15</v>
      </c>
      <c r="D553" t="s">
        <v>26</v>
      </c>
      <c r="E553" t="s">
        <v>27</v>
      </c>
      <c r="F553">
        <v>1000</v>
      </c>
      <c r="G553">
        <v>41</v>
      </c>
      <c r="H553" t="s">
        <v>13</v>
      </c>
      <c r="I553" t="s">
        <v>19</v>
      </c>
      <c r="J553">
        <v>4</v>
      </c>
      <c r="K553" s="1" t="str">
        <f t="shared" si="24"/>
        <v>60-74</v>
      </c>
      <c r="L553" s="1" t="str">
        <f t="shared" si="25"/>
        <v>Low</v>
      </c>
      <c r="M553" s="1" t="str">
        <f t="shared" si="26"/>
        <v>Yes</v>
      </c>
    </row>
    <row r="554" spans="1:13" x14ac:dyDescent="0.35">
      <c r="A554">
        <v>562</v>
      </c>
      <c r="B554">
        <v>60</v>
      </c>
      <c r="C554" t="s">
        <v>10</v>
      </c>
      <c r="D554" t="s">
        <v>28</v>
      </c>
      <c r="E554" t="s">
        <v>29</v>
      </c>
      <c r="F554">
        <v>8000</v>
      </c>
      <c r="G554">
        <v>43</v>
      </c>
      <c r="H554" t="s">
        <v>18</v>
      </c>
      <c r="I554" t="s">
        <v>14</v>
      </c>
      <c r="J554">
        <v>3</v>
      </c>
      <c r="K554" s="1" t="str">
        <f t="shared" si="24"/>
        <v>60-74</v>
      </c>
      <c r="L554" s="1" t="str">
        <f t="shared" si="25"/>
        <v>Medium</v>
      </c>
      <c r="M554" s="1" t="str">
        <f t="shared" si="26"/>
        <v>No</v>
      </c>
    </row>
    <row r="555" spans="1:13" x14ac:dyDescent="0.35">
      <c r="A555">
        <v>563</v>
      </c>
      <c r="B555">
        <v>45</v>
      </c>
      <c r="C555" t="s">
        <v>15</v>
      </c>
      <c r="D555" t="s">
        <v>30</v>
      </c>
      <c r="E555" t="s">
        <v>31</v>
      </c>
      <c r="F555">
        <v>3000</v>
      </c>
      <c r="G555">
        <v>43</v>
      </c>
      <c r="H555" t="s">
        <v>13</v>
      </c>
      <c r="I555" t="s">
        <v>14</v>
      </c>
      <c r="J555">
        <v>4</v>
      </c>
      <c r="K555" s="1" t="str">
        <f t="shared" si="24"/>
        <v>45-59</v>
      </c>
      <c r="L555" s="1" t="str">
        <f t="shared" si="25"/>
        <v>Medium</v>
      </c>
      <c r="M555" s="1" t="str">
        <f t="shared" si="26"/>
        <v>Yes</v>
      </c>
    </row>
    <row r="556" spans="1:13" x14ac:dyDescent="0.35">
      <c r="A556">
        <v>564</v>
      </c>
      <c r="B556">
        <v>75</v>
      </c>
      <c r="C556" t="s">
        <v>10</v>
      </c>
      <c r="D556" t="s">
        <v>32</v>
      </c>
      <c r="E556" t="s">
        <v>33</v>
      </c>
      <c r="F556">
        <v>18000</v>
      </c>
      <c r="G556">
        <v>45</v>
      </c>
      <c r="H556" t="s">
        <v>18</v>
      </c>
      <c r="I556" t="s">
        <v>19</v>
      </c>
      <c r="J556">
        <v>2</v>
      </c>
      <c r="K556" s="1" t="str">
        <f t="shared" si="24"/>
        <v>75+</v>
      </c>
      <c r="L556" s="1" t="str">
        <f t="shared" si="25"/>
        <v>High</v>
      </c>
      <c r="M556" s="1" t="str">
        <f t="shared" si="26"/>
        <v>No</v>
      </c>
    </row>
    <row r="557" spans="1:13" x14ac:dyDescent="0.35">
      <c r="A557">
        <v>565</v>
      </c>
      <c r="B557">
        <v>28</v>
      </c>
      <c r="C557" t="s">
        <v>15</v>
      </c>
      <c r="D557" t="s">
        <v>34</v>
      </c>
      <c r="E557" t="s">
        <v>35</v>
      </c>
      <c r="F557">
        <v>100</v>
      </c>
      <c r="G557">
        <v>38</v>
      </c>
      <c r="H557" t="s">
        <v>13</v>
      </c>
      <c r="I557" t="s">
        <v>14</v>
      </c>
      <c r="J557">
        <v>5</v>
      </c>
      <c r="K557" s="1" t="str">
        <f t="shared" si="24"/>
        <v>18-29</v>
      </c>
      <c r="L557" s="1" t="str">
        <f t="shared" si="25"/>
        <v>Low</v>
      </c>
      <c r="M557" s="1" t="str">
        <f t="shared" si="26"/>
        <v>Yes</v>
      </c>
    </row>
    <row r="558" spans="1:13" x14ac:dyDescent="0.35">
      <c r="A558">
        <v>566</v>
      </c>
      <c r="B558">
        <v>52</v>
      </c>
      <c r="C558" t="s">
        <v>10</v>
      </c>
      <c r="D558" t="s">
        <v>36</v>
      </c>
      <c r="E558" t="s">
        <v>37</v>
      </c>
      <c r="F558">
        <v>800</v>
      </c>
      <c r="G558">
        <v>39</v>
      </c>
      <c r="H558" t="s">
        <v>13</v>
      </c>
      <c r="I558" t="s">
        <v>19</v>
      </c>
      <c r="J558">
        <v>4</v>
      </c>
      <c r="K558" s="1" t="str">
        <f t="shared" si="24"/>
        <v>45-59</v>
      </c>
      <c r="L558" s="1" t="str">
        <f t="shared" si="25"/>
        <v>Low</v>
      </c>
      <c r="M558" s="1" t="str">
        <f t="shared" si="26"/>
        <v>Yes</v>
      </c>
    </row>
    <row r="559" spans="1:13" x14ac:dyDescent="0.35">
      <c r="A559">
        <v>567</v>
      </c>
      <c r="B559">
        <v>67</v>
      </c>
      <c r="C559" t="s">
        <v>15</v>
      </c>
      <c r="D559" t="s">
        <v>38</v>
      </c>
      <c r="E559" t="s">
        <v>39</v>
      </c>
      <c r="F559">
        <v>20000</v>
      </c>
      <c r="G559">
        <v>46</v>
      </c>
      <c r="H559" t="s">
        <v>13</v>
      </c>
      <c r="I559" t="s">
        <v>14</v>
      </c>
      <c r="J559">
        <v>3</v>
      </c>
      <c r="K559" s="1" t="str">
        <f t="shared" si="24"/>
        <v>60-74</v>
      </c>
      <c r="L559" s="1" t="str">
        <f t="shared" si="25"/>
        <v>High</v>
      </c>
      <c r="M559" s="1" t="str">
        <f t="shared" si="26"/>
        <v>No</v>
      </c>
    </row>
    <row r="560" spans="1:13" x14ac:dyDescent="0.35">
      <c r="A560">
        <v>568</v>
      </c>
      <c r="B560">
        <v>35</v>
      </c>
      <c r="C560" t="s">
        <v>10</v>
      </c>
      <c r="D560" t="s">
        <v>40</v>
      </c>
      <c r="E560" t="s">
        <v>41</v>
      </c>
      <c r="F560">
        <v>12000</v>
      </c>
      <c r="G560">
        <v>40</v>
      </c>
      <c r="H560" t="s">
        <v>13</v>
      </c>
      <c r="I560" t="s">
        <v>14</v>
      </c>
      <c r="J560">
        <v>4</v>
      </c>
      <c r="K560" s="1" t="str">
        <f t="shared" si="24"/>
        <v>30-44</v>
      </c>
      <c r="L560" s="1" t="str">
        <f t="shared" si="25"/>
        <v>High</v>
      </c>
      <c r="M560" s="1" t="str">
        <f t="shared" si="26"/>
        <v>Yes</v>
      </c>
    </row>
    <row r="561" spans="1:13" x14ac:dyDescent="0.35">
      <c r="A561">
        <v>569</v>
      </c>
      <c r="B561">
        <v>50</v>
      </c>
      <c r="C561" t="s">
        <v>15</v>
      </c>
      <c r="D561" t="s">
        <v>42</v>
      </c>
      <c r="E561" t="s">
        <v>43</v>
      </c>
      <c r="F561">
        <v>6000</v>
      </c>
      <c r="G561">
        <v>41</v>
      </c>
      <c r="H561" t="s">
        <v>13</v>
      </c>
      <c r="I561" t="s">
        <v>14</v>
      </c>
      <c r="J561">
        <v>3</v>
      </c>
      <c r="K561" s="1" t="str">
        <f t="shared" si="24"/>
        <v>45-59</v>
      </c>
      <c r="L561" s="1" t="str">
        <f t="shared" si="25"/>
        <v>Medium</v>
      </c>
      <c r="M561" s="1" t="str">
        <f t="shared" si="26"/>
        <v>No</v>
      </c>
    </row>
    <row r="562" spans="1:13" x14ac:dyDescent="0.35">
      <c r="A562">
        <v>570</v>
      </c>
      <c r="B562">
        <v>60</v>
      </c>
      <c r="C562" t="s">
        <v>10</v>
      </c>
      <c r="D562" t="s">
        <v>44</v>
      </c>
      <c r="E562" t="s">
        <v>45</v>
      </c>
      <c r="F562">
        <v>4000</v>
      </c>
      <c r="G562">
        <v>42</v>
      </c>
      <c r="H562" t="s">
        <v>13</v>
      </c>
      <c r="I562" t="s">
        <v>19</v>
      </c>
      <c r="J562">
        <v>4</v>
      </c>
      <c r="K562" s="1" t="str">
        <f t="shared" si="24"/>
        <v>60-74</v>
      </c>
      <c r="L562" s="1" t="str">
        <f t="shared" si="25"/>
        <v>Medium</v>
      </c>
      <c r="M562" s="1" t="str">
        <f t="shared" si="26"/>
        <v>Yes</v>
      </c>
    </row>
    <row r="563" spans="1:13" x14ac:dyDescent="0.35">
      <c r="A563">
        <v>571</v>
      </c>
      <c r="B563">
        <v>48</v>
      </c>
      <c r="C563" t="s">
        <v>10</v>
      </c>
      <c r="D563" t="s">
        <v>11</v>
      </c>
      <c r="E563" t="s">
        <v>12</v>
      </c>
      <c r="F563">
        <v>15000</v>
      </c>
      <c r="G563">
        <v>43</v>
      </c>
      <c r="H563" t="s">
        <v>18</v>
      </c>
      <c r="I563" t="s">
        <v>14</v>
      </c>
      <c r="J563">
        <v>4</v>
      </c>
      <c r="K563" s="1" t="str">
        <f t="shared" si="24"/>
        <v>45-59</v>
      </c>
      <c r="L563" s="1" t="str">
        <f t="shared" si="25"/>
        <v>High</v>
      </c>
      <c r="M563" s="1" t="str">
        <f t="shared" si="26"/>
        <v>Yes</v>
      </c>
    </row>
    <row r="564" spans="1:13" x14ac:dyDescent="0.35">
      <c r="A564">
        <v>572</v>
      </c>
      <c r="B564">
        <v>65</v>
      </c>
      <c r="C564" t="s">
        <v>15</v>
      </c>
      <c r="D564" t="s">
        <v>16</v>
      </c>
      <c r="E564" t="s">
        <v>17</v>
      </c>
      <c r="F564">
        <v>2000</v>
      </c>
      <c r="G564">
        <v>41</v>
      </c>
      <c r="H564" t="s">
        <v>13</v>
      </c>
      <c r="I564" t="s">
        <v>19</v>
      </c>
      <c r="J564">
        <v>3</v>
      </c>
      <c r="K564" s="1" t="str">
        <f t="shared" si="24"/>
        <v>60-74</v>
      </c>
      <c r="L564" s="1" t="str">
        <f t="shared" si="25"/>
        <v>Medium</v>
      </c>
      <c r="M564" s="1" t="str">
        <f t="shared" si="26"/>
        <v>No</v>
      </c>
    </row>
    <row r="565" spans="1:13" x14ac:dyDescent="0.35">
      <c r="A565">
        <v>573</v>
      </c>
      <c r="B565">
        <v>30</v>
      </c>
      <c r="C565" t="s">
        <v>10</v>
      </c>
      <c r="D565" t="s">
        <v>20</v>
      </c>
      <c r="E565" t="s">
        <v>21</v>
      </c>
      <c r="F565">
        <v>500</v>
      </c>
      <c r="G565">
        <v>39</v>
      </c>
      <c r="H565" t="s">
        <v>13</v>
      </c>
      <c r="I565" t="s">
        <v>14</v>
      </c>
      <c r="J565">
        <v>5</v>
      </c>
      <c r="K565" s="1" t="str">
        <f t="shared" si="24"/>
        <v>30-44</v>
      </c>
      <c r="L565" s="1" t="str">
        <f t="shared" si="25"/>
        <v>Low</v>
      </c>
      <c r="M565" s="1" t="str">
        <f t="shared" si="26"/>
        <v>Yes</v>
      </c>
    </row>
    <row r="566" spans="1:13" x14ac:dyDescent="0.35">
      <c r="A566">
        <v>574</v>
      </c>
      <c r="B566">
        <v>70</v>
      </c>
      <c r="C566" t="s">
        <v>15</v>
      </c>
      <c r="D566" t="s">
        <v>22</v>
      </c>
      <c r="E566" t="s">
        <v>23</v>
      </c>
      <c r="F566">
        <v>10000</v>
      </c>
      <c r="G566">
        <v>46</v>
      </c>
      <c r="H566" t="s">
        <v>18</v>
      </c>
      <c r="I566" t="s">
        <v>19</v>
      </c>
      <c r="J566">
        <v>2</v>
      </c>
      <c r="K566" s="1" t="str">
        <f t="shared" si="24"/>
        <v>60-74</v>
      </c>
      <c r="L566" s="1" t="str">
        <f t="shared" si="25"/>
        <v>High</v>
      </c>
      <c r="M566" s="1" t="str">
        <f t="shared" si="26"/>
        <v>No</v>
      </c>
    </row>
    <row r="567" spans="1:13" x14ac:dyDescent="0.35">
      <c r="A567">
        <v>575</v>
      </c>
      <c r="B567">
        <v>55</v>
      </c>
      <c r="C567" t="s">
        <v>10</v>
      </c>
      <c r="D567" t="s">
        <v>24</v>
      </c>
      <c r="E567" t="s">
        <v>25</v>
      </c>
      <c r="F567">
        <v>25000</v>
      </c>
      <c r="G567">
        <v>48</v>
      </c>
      <c r="H567" t="s">
        <v>13</v>
      </c>
      <c r="I567" t="s">
        <v>14</v>
      </c>
      <c r="J567">
        <v>4</v>
      </c>
      <c r="K567" s="1" t="str">
        <f t="shared" si="24"/>
        <v>45-59</v>
      </c>
      <c r="L567" s="1" t="str">
        <f t="shared" si="25"/>
        <v>High</v>
      </c>
      <c r="M567" s="1" t="str">
        <f t="shared" si="26"/>
        <v>Yes</v>
      </c>
    </row>
    <row r="568" spans="1:13" x14ac:dyDescent="0.35">
      <c r="A568">
        <v>576</v>
      </c>
      <c r="B568">
        <v>68</v>
      </c>
      <c r="C568" t="s">
        <v>15</v>
      </c>
      <c r="D568" t="s">
        <v>26</v>
      </c>
      <c r="E568" t="s">
        <v>27</v>
      </c>
      <c r="F568">
        <v>1000</v>
      </c>
      <c r="G568">
        <v>42</v>
      </c>
      <c r="H568" t="s">
        <v>13</v>
      </c>
      <c r="I568" t="s">
        <v>19</v>
      </c>
      <c r="J568">
        <v>4</v>
      </c>
      <c r="K568" s="1" t="str">
        <f t="shared" si="24"/>
        <v>60-74</v>
      </c>
      <c r="L568" s="1" t="str">
        <f t="shared" si="25"/>
        <v>Low</v>
      </c>
      <c r="M568" s="1" t="str">
        <f t="shared" si="26"/>
        <v>Yes</v>
      </c>
    </row>
    <row r="569" spans="1:13" x14ac:dyDescent="0.35">
      <c r="A569">
        <v>577</v>
      </c>
      <c r="B569">
        <v>45</v>
      </c>
      <c r="C569" t="s">
        <v>10</v>
      </c>
      <c r="D569" t="s">
        <v>28</v>
      </c>
      <c r="E569" t="s">
        <v>29</v>
      </c>
      <c r="F569">
        <v>8000</v>
      </c>
      <c r="G569">
        <v>44</v>
      </c>
      <c r="H569" t="s">
        <v>13</v>
      </c>
      <c r="I569" t="s">
        <v>14</v>
      </c>
      <c r="J569">
        <v>3</v>
      </c>
      <c r="K569" s="1" t="str">
        <f t="shared" si="24"/>
        <v>45-59</v>
      </c>
      <c r="L569" s="1" t="str">
        <f t="shared" si="25"/>
        <v>Medium</v>
      </c>
      <c r="M569" s="1" t="str">
        <f t="shared" si="26"/>
        <v>No</v>
      </c>
    </row>
    <row r="570" spans="1:13" x14ac:dyDescent="0.35">
      <c r="A570">
        <v>578</v>
      </c>
      <c r="B570">
        <v>40</v>
      </c>
      <c r="C570" t="s">
        <v>15</v>
      </c>
      <c r="D570" t="s">
        <v>30</v>
      </c>
      <c r="E570" t="s">
        <v>31</v>
      </c>
      <c r="F570">
        <v>3000</v>
      </c>
      <c r="G570">
        <v>44</v>
      </c>
      <c r="H570" t="s">
        <v>13</v>
      </c>
      <c r="I570" t="s">
        <v>14</v>
      </c>
      <c r="J570">
        <v>4</v>
      </c>
      <c r="K570" s="1" t="str">
        <f t="shared" si="24"/>
        <v>30-44</v>
      </c>
      <c r="L570" s="1" t="str">
        <f t="shared" si="25"/>
        <v>Medium</v>
      </c>
      <c r="M570" s="1" t="str">
        <f t="shared" si="26"/>
        <v>Yes</v>
      </c>
    </row>
    <row r="571" spans="1:13" x14ac:dyDescent="0.35">
      <c r="A571">
        <v>579</v>
      </c>
      <c r="B571">
        <v>78</v>
      </c>
      <c r="C571" t="s">
        <v>10</v>
      </c>
      <c r="D571" t="s">
        <v>32</v>
      </c>
      <c r="E571" t="s">
        <v>33</v>
      </c>
      <c r="F571">
        <v>18000</v>
      </c>
      <c r="G571">
        <v>46</v>
      </c>
      <c r="H571" t="s">
        <v>18</v>
      </c>
      <c r="I571" t="s">
        <v>19</v>
      </c>
      <c r="J571">
        <v>2</v>
      </c>
      <c r="K571" s="1" t="str">
        <f t="shared" si="24"/>
        <v>75+</v>
      </c>
      <c r="L571" s="1" t="str">
        <f t="shared" si="25"/>
        <v>High</v>
      </c>
      <c r="M571" s="1" t="str">
        <f t="shared" si="26"/>
        <v>No</v>
      </c>
    </row>
    <row r="572" spans="1:13" x14ac:dyDescent="0.35">
      <c r="A572">
        <v>580</v>
      </c>
      <c r="B572">
        <v>25</v>
      </c>
      <c r="C572" t="s">
        <v>15</v>
      </c>
      <c r="D572" t="s">
        <v>34</v>
      </c>
      <c r="E572" t="s">
        <v>35</v>
      </c>
      <c r="F572">
        <v>100</v>
      </c>
      <c r="G572">
        <v>39</v>
      </c>
      <c r="H572" t="s">
        <v>13</v>
      </c>
      <c r="I572" t="s">
        <v>14</v>
      </c>
      <c r="J572">
        <v>5</v>
      </c>
      <c r="K572" s="1" t="str">
        <f t="shared" si="24"/>
        <v>18-29</v>
      </c>
      <c r="L572" s="1" t="str">
        <f t="shared" si="25"/>
        <v>Low</v>
      </c>
      <c r="M572" s="1" t="str">
        <f t="shared" si="26"/>
        <v>Yes</v>
      </c>
    </row>
    <row r="573" spans="1:13" x14ac:dyDescent="0.35">
      <c r="A573">
        <v>581</v>
      </c>
      <c r="B573">
        <v>52</v>
      </c>
      <c r="C573" t="s">
        <v>10</v>
      </c>
      <c r="D573" t="s">
        <v>36</v>
      </c>
      <c r="E573" t="s">
        <v>37</v>
      </c>
      <c r="F573">
        <v>800</v>
      </c>
      <c r="G573">
        <v>40</v>
      </c>
      <c r="H573" t="s">
        <v>13</v>
      </c>
      <c r="I573" t="s">
        <v>19</v>
      </c>
      <c r="J573">
        <v>4</v>
      </c>
      <c r="K573" s="1" t="str">
        <f t="shared" si="24"/>
        <v>45-59</v>
      </c>
      <c r="L573" s="1" t="str">
        <f t="shared" si="25"/>
        <v>Low</v>
      </c>
      <c r="M573" s="1" t="str">
        <f t="shared" si="26"/>
        <v>Yes</v>
      </c>
    </row>
    <row r="574" spans="1:13" x14ac:dyDescent="0.35">
      <c r="A574">
        <v>582</v>
      </c>
      <c r="B574">
        <v>58</v>
      </c>
      <c r="C574" t="s">
        <v>15</v>
      </c>
      <c r="D574" t="s">
        <v>38</v>
      </c>
      <c r="E574" t="s">
        <v>39</v>
      </c>
      <c r="F574">
        <v>20000</v>
      </c>
      <c r="G574">
        <v>47</v>
      </c>
      <c r="H574" t="s">
        <v>13</v>
      </c>
      <c r="I574" t="s">
        <v>14</v>
      </c>
      <c r="J574">
        <v>3</v>
      </c>
      <c r="K574" s="1" t="str">
        <f t="shared" si="24"/>
        <v>45-59</v>
      </c>
      <c r="L574" s="1" t="str">
        <f t="shared" si="25"/>
        <v>High</v>
      </c>
      <c r="M574" s="1" t="str">
        <f t="shared" si="26"/>
        <v>No</v>
      </c>
    </row>
    <row r="575" spans="1:13" x14ac:dyDescent="0.35">
      <c r="A575">
        <v>583</v>
      </c>
      <c r="B575">
        <v>32</v>
      </c>
      <c r="C575" t="s">
        <v>10</v>
      </c>
      <c r="D575" t="s">
        <v>40</v>
      </c>
      <c r="E575" t="s">
        <v>41</v>
      </c>
      <c r="F575">
        <v>12000</v>
      </c>
      <c r="G575">
        <v>41</v>
      </c>
      <c r="H575" t="s">
        <v>13</v>
      </c>
      <c r="I575" t="s">
        <v>14</v>
      </c>
      <c r="J575">
        <v>4</v>
      </c>
      <c r="K575" s="1" t="str">
        <f t="shared" si="24"/>
        <v>30-44</v>
      </c>
      <c r="L575" s="1" t="str">
        <f t="shared" si="25"/>
        <v>High</v>
      </c>
      <c r="M575" s="1" t="str">
        <f t="shared" si="26"/>
        <v>Yes</v>
      </c>
    </row>
    <row r="576" spans="1:13" x14ac:dyDescent="0.35">
      <c r="A576">
        <v>584</v>
      </c>
      <c r="B576">
        <v>55</v>
      </c>
      <c r="C576" t="s">
        <v>15</v>
      </c>
      <c r="D576" t="s">
        <v>42</v>
      </c>
      <c r="E576" t="s">
        <v>43</v>
      </c>
      <c r="F576">
        <v>6000</v>
      </c>
      <c r="G576">
        <v>42</v>
      </c>
      <c r="H576" t="s">
        <v>13</v>
      </c>
      <c r="I576" t="s">
        <v>14</v>
      </c>
      <c r="J576">
        <v>3</v>
      </c>
      <c r="K576" s="1" t="str">
        <f t="shared" si="24"/>
        <v>45-59</v>
      </c>
      <c r="L576" s="1" t="str">
        <f t="shared" si="25"/>
        <v>Medium</v>
      </c>
      <c r="M576" s="1" t="str">
        <f t="shared" si="26"/>
        <v>No</v>
      </c>
    </row>
    <row r="577" spans="1:13" x14ac:dyDescent="0.35">
      <c r="A577">
        <v>585</v>
      </c>
      <c r="B577">
        <v>65</v>
      </c>
      <c r="C577" t="s">
        <v>10</v>
      </c>
      <c r="D577" t="s">
        <v>44</v>
      </c>
      <c r="E577" t="s">
        <v>45</v>
      </c>
      <c r="F577">
        <v>4000</v>
      </c>
      <c r="G577">
        <v>43</v>
      </c>
      <c r="H577" t="s">
        <v>13</v>
      </c>
      <c r="I577" t="s">
        <v>19</v>
      </c>
      <c r="J577">
        <v>4</v>
      </c>
      <c r="K577" s="1" t="str">
        <f t="shared" si="24"/>
        <v>60-74</v>
      </c>
      <c r="L577" s="1" t="str">
        <f t="shared" si="25"/>
        <v>Medium</v>
      </c>
      <c r="M577" s="1" t="str">
        <f t="shared" si="26"/>
        <v>Yes</v>
      </c>
    </row>
    <row r="578" spans="1:13" x14ac:dyDescent="0.35">
      <c r="A578">
        <v>586</v>
      </c>
      <c r="B578">
        <v>55</v>
      </c>
      <c r="C578" t="s">
        <v>10</v>
      </c>
      <c r="D578" t="s">
        <v>11</v>
      </c>
      <c r="E578" t="s">
        <v>12</v>
      </c>
      <c r="F578">
        <v>15000</v>
      </c>
      <c r="G578">
        <v>44</v>
      </c>
      <c r="H578" t="s">
        <v>18</v>
      </c>
      <c r="I578" t="s">
        <v>14</v>
      </c>
      <c r="J578">
        <v>3</v>
      </c>
      <c r="K578" s="1" t="str">
        <f t="shared" si="24"/>
        <v>45-59</v>
      </c>
      <c r="L578" s="1" t="str">
        <f t="shared" si="25"/>
        <v>High</v>
      </c>
      <c r="M578" s="1" t="str">
        <f t="shared" si="26"/>
        <v>No</v>
      </c>
    </row>
    <row r="579" spans="1:13" x14ac:dyDescent="0.35">
      <c r="A579">
        <v>587</v>
      </c>
      <c r="B579">
        <v>62</v>
      </c>
      <c r="C579" t="s">
        <v>15</v>
      </c>
      <c r="D579" t="s">
        <v>16</v>
      </c>
      <c r="E579" t="s">
        <v>17</v>
      </c>
      <c r="F579">
        <v>2000</v>
      </c>
      <c r="G579">
        <v>42</v>
      </c>
      <c r="H579" t="s">
        <v>13</v>
      </c>
      <c r="I579" t="s">
        <v>19</v>
      </c>
      <c r="J579">
        <v>4</v>
      </c>
      <c r="K579" s="1" t="str">
        <f t="shared" ref="K579:K642" si="27">IF(B579&lt;30,"18-29",IF(B579&lt;45,"30-44",IF(B579&lt;60,"45-59",IF(B579&lt;75,"60-74","75+"))))</f>
        <v>60-74</v>
      </c>
      <c r="L579" s="1" t="str">
        <f t="shared" ref="L579:L642" si="28">IF(F579&lt;=1000,"Low",IF(F579&lt;=8000,"Medium","High"))</f>
        <v>Medium</v>
      </c>
      <c r="M579" s="1" t="str">
        <f t="shared" ref="M579:M642" si="29">IF(J579&gt;=4,"Yes","No")</f>
        <v>Yes</v>
      </c>
    </row>
    <row r="580" spans="1:13" x14ac:dyDescent="0.35">
      <c r="A580">
        <v>588</v>
      </c>
      <c r="B580">
        <v>35</v>
      </c>
      <c r="C580" t="s">
        <v>10</v>
      </c>
      <c r="D580" t="s">
        <v>20</v>
      </c>
      <c r="E580" t="s">
        <v>21</v>
      </c>
      <c r="F580">
        <v>500</v>
      </c>
      <c r="G580">
        <v>40</v>
      </c>
      <c r="H580" t="s">
        <v>18</v>
      </c>
      <c r="I580" t="s">
        <v>14</v>
      </c>
      <c r="J580">
        <v>5</v>
      </c>
      <c r="K580" s="1" t="str">
        <f t="shared" si="27"/>
        <v>30-44</v>
      </c>
      <c r="L580" s="1" t="str">
        <f t="shared" si="28"/>
        <v>Low</v>
      </c>
      <c r="M580" s="1" t="str">
        <f t="shared" si="29"/>
        <v>Yes</v>
      </c>
    </row>
    <row r="581" spans="1:13" x14ac:dyDescent="0.35">
      <c r="A581">
        <v>589</v>
      </c>
      <c r="B581">
        <v>78</v>
      </c>
      <c r="C581" t="s">
        <v>15</v>
      </c>
      <c r="D581" t="s">
        <v>22</v>
      </c>
      <c r="E581" t="s">
        <v>23</v>
      </c>
      <c r="F581">
        <v>10000</v>
      </c>
      <c r="G581">
        <v>47</v>
      </c>
      <c r="H581" t="s">
        <v>13</v>
      </c>
      <c r="I581" t="s">
        <v>19</v>
      </c>
      <c r="J581">
        <v>2</v>
      </c>
      <c r="K581" s="1" t="str">
        <f t="shared" si="27"/>
        <v>75+</v>
      </c>
      <c r="L581" s="1" t="str">
        <f t="shared" si="28"/>
        <v>High</v>
      </c>
      <c r="M581" s="1" t="str">
        <f t="shared" si="29"/>
        <v>No</v>
      </c>
    </row>
    <row r="582" spans="1:13" x14ac:dyDescent="0.35">
      <c r="A582">
        <v>590</v>
      </c>
      <c r="B582">
        <v>53</v>
      </c>
      <c r="C582" t="s">
        <v>10</v>
      </c>
      <c r="D582" t="s">
        <v>24</v>
      </c>
      <c r="E582" t="s">
        <v>25</v>
      </c>
      <c r="F582">
        <v>25000</v>
      </c>
      <c r="G582">
        <v>49</v>
      </c>
      <c r="H582" t="s">
        <v>18</v>
      </c>
      <c r="I582" t="s">
        <v>14</v>
      </c>
      <c r="J582">
        <v>4</v>
      </c>
      <c r="K582" s="1" t="str">
        <f t="shared" si="27"/>
        <v>45-59</v>
      </c>
      <c r="L582" s="1" t="str">
        <f t="shared" si="28"/>
        <v>High</v>
      </c>
      <c r="M582" s="1" t="str">
        <f t="shared" si="29"/>
        <v>Yes</v>
      </c>
    </row>
    <row r="583" spans="1:13" x14ac:dyDescent="0.35">
      <c r="A583">
        <v>591</v>
      </c>
      <c r="B583">
        <v>72</v>
      </c>
      <c r="C583" t="s">
        <v>15</v>
      </c>
      <c r="D583" t="s">
        <v>26</v>
      </c>
      <c r="E583" t="s">
        <v>27</v>
      </c>
      <c r="F583">
        <v>1000</v>
      </c>
      <c r="G583">
        <v>43</v>
      </c>
      <c r="H583" t="s">
        <v>13</v>
      </c>
      <c r="I583" t="s">
        <v>19</v>
      </c>
      <c r="J583">
        <v>4</v>
      </c>
      <c r="K583" s="1" t="str">
        <f t="shared" si="27"/>
        <v>60-74</v>
      </c>
      <c r="L583" s="1" t="str">
        <f t="shared" si="28"/>
        <v>Low</v>
      </c>
      <c r="M583" s="1" t="str">
        <f t="shared" si="29"/>
        <v>Yes</v>
      </c>
    </row>
    <row r="584" spans="1:13" x14ac:dyDescent="0.35">
      <c r="A584">
        <v>592</v>
      </c>
      <c r="B584">
        <v>60</v>
      </c>
      <c r="C584" t="s">
        <v>10</v>
      </c>
      <c r="D584" t="s">
        <v>28</v>
      </c>
      <c r="E584" t="s">
        <v>29</v>
      </c>
      <c r="F584">
        <v>8000</v>
      </c>
      <c r="G584">
        <v>45</v>
      </c>
      <c r="H584" t="s">
        <v>18</v>
      </c>
      <c r="I584" t="s">
        <v>14</v>
      </c>
      <c r="J584">
        <v>3</v>
      </c>
      <c r="K584" s="1" t="str">
        <f t="shared" si="27"/>
        <v>60-74</v>
      </c>
      <c r="L584" s="1" t="str">
        <f t="shared" si="28"/>
        <v>Medium</v>
      </c>
      <c r="M584" s="1" t="str">
        <f t="shared" si="29"/>
        <v>No</v>
      </c>
    </row>
    <row r="585" spans="1:13" x14ac:dyDescent="0.35">
      <c r="A585">
        <v>593</v>
      </c>
      <c r="B585">
        <v>45</v>
      </c>
      <c r="C585" t="s">
        <v>15</v>
      </c>
      <c r="D585" t="s">
        <v>30</v>
      </c>
      <c r="E585" t="s">
        <v>31</v>
      </c>
      <c r="F585">
        <v>3000</v>
      </c>
      <c r="G585">
        <v>45</v>
      </c>
      <c r="H585" t="s">
        <v>13</v>
      </c>
      <c r="I585" t="s">
        <v>14</v>
      </c>
      <c r="J585">
        <v>4</v>
      </c>
      <c r="K585" s="1" t="str">
        <f t="shared" si="27"/>
        <v>45-59</v>
      </c>
      <c r="L585" s="1" t="str">
        <f t="shared" si="28"/>
        <v>Medium</v>
      </c>
      <c r="M585" s="1" t="str">
        <f t="shared" si="29"/>
        <v>Yes</v>
      </c>
    </row>
    <row r="586" spans="1:13" x14ac:dyDescent="0.35">
      <c r="A586">
        <v>594</v>
      </c>
      <c r="B586">
        <v>75</v>
      </c>
      <c r="C586" t="s">
        <v>10</v>
      </c>
      <c r="D586" t="s">
        <v>32</v>
      </c>
      <c r="E586" t="s">
        <v>33</v>
      </c>
      <c r="F586">
        <v>18000</v>
      </c>
      <c r="G586">
        <v>47</v>
      </c>
      <c r="H586" t="s">
        <v>18</v>
      </c>
      <c r="I586" t="s">
        <v>19</v>
      </c>
      <c r="J586">
        <v>2</v>
      </c>
      <c r="K586" s="1" t="str">
        <f t="shared" si="27"/>
        <v>75+</v>
      </c>
      <c r="L586" s="1" t="str">
        <f t="shared" si="28"/>
        <v>High</v>
      </c>
      <c r="M586" s="1" t="str">
        <f t="shared" si="29"/>
        <v>No</v>
      </c>
    </row>
    <row r="587" spans="1:13" x14ac:dyDescent="0.35">
      <c r="A587">
        <v>595</v>
      </c>
      <c r="B587">
        <v>28</v>
      </c>
      <c r="C587" t="s">
        <v>15</v>
      </c>
      <c r="D587" t="s">
        <v>34</v>
      </c>
      <c r="E587" t="s">
        <v>35</v>
      </c>
      <c r="F587">
        <v>100</v>
      </c>
      <c r="G587">
        <v>40</v>
      </c>
      <c r="H587" t="s">
        <v>13</v>
      </c>
      <c r="I587" t="s">
        <v>14</v>
      </c>
      <c r="J587">
        <v>5</v>
      </c>
      <c r="K587" s="1" t="str">
        <f t="shared" si="27"/>
        <v>18-29</v>
      </c>
      <c r="L587" s="1" t="str">
        <f t="shared" si="28"/>
        <v>Low</v>
      </c>
      <c r="M587" s="1" t="str">
        <f t="shared" si="29"/>
        <v>Yes</v>
      </c>
    </row>
    <row r="588" spans="1:13" x14ac:dyDescent="0.35">
      <c r="A588">
        <v>596</v>
      </c>
      <c r="B588">
        <v>52</v>
      </c>
      <c r="C588" t="s">
        <v>10</v>
      </c>
      <c r="D588" t="s">
        <v>36</v>
      </c>
      <c r="E588" t="s">
        <v>37</v>
      </c>
      <c r="F588">
        <v>800</v>
      </c>
      <c r="G588">
        <v>41</v>
      </c>
      <c r="H588" t="s">
        <v>13</v>
      </c>
      <c r="I588" t="s">
        <v>19</v>
      </c>
      <c r="J588">
        <v>4</v>
      </c>
      <c r="K588" s="1" t="str">
        <f t="shared" si="27"/>
        <v>45-59</v>
      </c>
      <c r="L588" s="1" t="str">
        <f t="shared" si="28"/>
        <v>Low</v>
      </c>
      <c r="M588" s="1" t="str">
        <f t="shared" si="29"/>
        <v>Yes</v>
      </c>
    </row>
    <row r="589" spans="1:13" x14ac:dyDescent="0.35">
      <c r="A589">
        <v>597</v>
      </c>
      <c r="B589">
        <v>67</v>
      </c>
      <c r="C589" t="s">
        <v>15</v>
      </c>
      <c r="D589" t="s">
        <v>38</v>
      </c>
      <c r="E589" t="s">
        <v>39</v>
      </c>
      <c r="F589">
        <v>20000</v>
      </c>
      <c r="G589">
        <v>48</v>
      </c>
      <c r="H589" t="s">
        <v>13</v>
      </c>
      <c r="I589" t="s">
        <v>14</v>
      </c>
      <c r="J589">
        <v>3</v>
      </c>
      <c r="K589" s="1" t="str">
        <f t="shared" si="27"/>
        <v>60-74</v>
      </c>
      <c r="L589" s="1" t="str">
        <f t="shared" si="28"/>
        <v>High</v>
      </c>
      <c r="M589" s="1" t="str">
        <f t="shared" si="29"/>
        <v>No</v>
      </c>
    </row>
    <row r="590" spans="1:13" x14ac:dyDescent="0.35">
      <c r="A590">
        <v>598</v>
      </c>
      <c r="B590">
        <v>35</v>
      </c>
      <c r="C590" t="s">
        <v>10</v>
      </c>
      <c r="D590" t="s">
        <v>40</v>
      </c>
      <c r="E590" t="s">
        <v>41</v>
      </c>
      <c r="F590">
        <v>12000</v>
      </c>
      <c r="G590">
        <v>42</v>
      </c>
      <c r="H590" t="s">
        <v>13</v>
      </c>
      <c r="I590" t="s">
        <v>14</v>
      </c>
      <c r="J590">
        <v>4</v>
      </c>
      <c r="K590" s="1" t="str">
        <f t="shared" si="27"/>
        <v>30-44</v>
      </c>
      <c r="L590" s="1" t="str">
        <f t="shared" si="28"/>
        <v>High</v>
      </c>
      <c r="M590" s="1" t="str">
        <f t="shared" si="29"/>
        <v>Yes</v>
      </c>
    </row>
    <row r="591" spans="1:13" x14ac:dyDescent="0.35">
      <c r="A591">
        <v>599</v>
      </c>
      <c r="B591">
        <v>50</v>
      </c>
      <c r="C591" t="s">
        <v>15</v>
      </c>
      <c r="D591" t="s">
        <v>42</v>
      </c>
      <c r="E591" t="s">
        <v>43</v>
      </c>
      <c r="F591">
        <v>6000</v>
      </c>
      <c r="G591">
        <v>43</v>
      </c>
      <c r="H591" t="s">
        <v>13</v>
      </c>
      <c r="I591" t="s">
        <v>14</v>
      </c>
      <c r="J591">
        <v>3</v>
      </c>
      <c r="K591" s="1" t="str">
        <f t="shared" si="27"/>
        <v>45-59</v>
      </c>
      <c r="L591" s="1" t="str">
        <f t="shared" si="28"/>
        <v>Medium</v>
      </c>
      <c r="M591" s="1" t="str">
        <f t="shared" si="29"/>
        <v>No</v>
      </c>
    </row>
    <row r="592" spans="1:13" x14ac:dyDescent="0.35">
      <c r="A592">
        <v>601</v>
      </c>
      <c r="B592">
        <v>48</v>
      </c>
      <c r="C592" t="s">
        <v>10</v>
      </c>
      <c r="D592" t="s">
        <v>11</v>
      </c>
      <c r="E592" t="s">
        <v>12</v>
      </c>
      <c r="F592">
        <v>15000</v>
      </c>
      <c r="G592">
        <v>45</v>
      </c>
      <c r="H592" t="s">
        <v>18</v>
      </c>
      <c r="I592" t="s">
        <v>14</v>
      </c>
      <c r="J592">
        <v>4</v>
      </c>
      <c r="K592" s="1" t="str">
        <f t="shared" si="27"/>
        <v>45-59</v>
      </c>
      <c r="L592" s="1" t="str">
        <f t="shared" si="28"/>
        <v>High</v>
      </c>
      <c r="M592" s="1" t="str">
        <f t="shared" si="29"/>
        <v>Yes</v>
      </c>
    </row>
    <row r="593" spans="1:13" x14ac:dyDescent="0.35">
      <c r="A593">
        <v>602</v>
      </c>
      <c r="B593">
        <v>65</v>
      </c>
      <c r="C593" t="s">
        <v>15</v>
      </c>
      <c r="D593" t="s">
        <v>16</v>
      </c>
      <c r="E593" t="s">
        <v>17</v>
      </c>
      <c r="F593">
        <v>2000</v>
      </c>
      <c r="G593">
        <v>43</v>
      </c>
      <c r="H593" t="s">
        <v>13</v>
      </c>
      <c r="I593" t="s">
        <v>19</v>
      </c>
      <c r="J593">
        <v>3</v>
      </c>
      <c r="K593" s="1" t="str">
        <f t="shared" si="27"/>
        <v>60-74</v>
      </c>
      <c r="L593" s="1" t="str">
        <f t="shared" si="28"/>
        <v>Medium</v>
      </c>
      <c r="M593" s="1" t="str">
        <f t="shared" si="29"/>
        <v>No</v>
      </c>
    </row>
    <row r="594" spans="1:13" x14ac:dyDescent="0.35">
      <c r="A594">
        <v>603</v>
      </c>
      <c r="B594">
        <v>30</v>
      </c>
      <c r="C594" t="s">
        <v>10</v>
      </c>
      <c r="D594" t="s">
        <v>20</v>
      </c>
      <c r="E594" t="s">
        <v>21</v>
      </c>
      <c r="F594">
        <v>500</v>
      </c>
      <c r="G594">
        <v>41</v>
      </c>
      <c r="H594" t="s">
        <v>13</v>
      </c>
      <c r="I594" t="s">
        <v>14</v>
      </c>
      <c r="J594">
        <v>5</v>
      </c>
      <c r="K594" s="1" t="str">
        <f t="shared" si="27"/>
        <v>30-44</v>
      </c>
      <c r="L594" s="1" t="str">
        <f t="shared" si="28"/>
        <v>Low</v>
      </c>
      <c r="M594" s="1" t="str">
        <f t="shared" si="29"/>
        <v>Yes</v>
      </c>
    </row>
    <row r="595" spans="1:13" x14ac:dyDescent="0.35">
      <c r="A595">
        <v>604</v>
      </c>
      <c r="B595">
        <v>70</v>
      </c>
      <c r="C595" t="s">
        <v>15</v>
      </c>
      <c r="D595" t="s">
        <v>22</v>
      </c>
      <c r="E595" t="s">
        <v>23</v>
      </c>
      <c r="F595">
        <v>10000</v>
      </c>
      <c r="G595">
        <v>48</v>
      </c>
      <c r="H595" t="s">
        <v>18</v>
      </c>
      <c r="I595" t="s">
        <v>19</v>
      </c>
      <c r="J595">
        <v>2</v>
      </c>
      <c r="K595" s="1" t="str">
        <f t="shared" si="27"/>
        <v>60-74</v>
      </c>
      <c r="L595" s="1" t="str">
        <f t="shared" si="28"/>
        <v>High</v>
      </c>
      <c r="M595" s="1" t="str">
        <f t="shared" si="29"/>
        <v>No</v>
      </c>
    </row>
    <row r="596" spans="1:13" x14ac:dyDescent="0.35">
      <c r="A596">
        <v>605</v>
      </c>
      <c r="B596">
        <v>55</v>
      </c>
      <c r="C596" t="s">
        <v>10</v>
      </c>
      <c r="D596" t="s">
        <v>24</v>
      </c>
      <c r="E596" t="s">
        <v>25</v>
      </c>
      <c r="F596">
        <v>25000</v>
      </c>
      <c r="G596">
        <v>50</v>
      </c>
      <c r="H596" t="s">
        <v>13</v>
      </c>
      <c r="I596" t="s">
        <v>14</v>
      </c>
      <c r="J596">
        <v>4</v>
      </c>
      <c r="K596" s="1" t="str">
        <f t="shared" si="27"/>
        <v>45-59</v>
      </c>
      <c r="L596" s="1" t="str">
        <f t="shared" si="28"/>
        <v>High</v>
      </c>
      <c r="M596" s="1" t="str">
        <f t="shared" si="29"/>
        <v>Yes</v>
      </c>
    </row>
    <row r="597" spans="1:13" x14ac:dyDescent="0.35">
      <c r="A597">
        <v>606</v>
      </c>
      <c r="B597">
        <v>68</v>
      </c>
      <c r="C597" t="s">
        <v>15</v>
      </c>
      <c r="D597" t="s">
        <v>26</v>
      </c>
      <c r="E597" t="s">
        <v>27</v>
      </c>
      <c r="F597">
        <v>1000</v>
      </c>
      <c r="G597">
        <v>44</v>
      </c>
      <c r="H597" t="s">
        <v>13</v>
      </c>
      <c r="I597" t="s">
        <v>19</v>
      </c>
      <c r="J597">
        <v>4</v>
      </c>
      <c r="K597" s="1" t="str">
        <f t="shared" si="27"/>
        <v>60-74</v>
      </c>
      <c r="L597" s="1" t="str">
        <f t="shared" si="28"/>
        <v>Low</v>
      </c>
      <c r="M597" s="1" t="str">
        <f t="shared" si="29"/>
        <v>Yes</v>
      </c>
    </row>
    <row r="598" spans="1:13" x14ac:dyDescent="0.35">
      <c r="A598">
        <v>607</v>
      </c>
      <c r="B598">
        <v>45</v>
      </c>
      <c r="C598" t="s">
        <v>10</v>
      </c>
      <c r="D598" t="s">
        <v>28</v>
      </c>
      <c r="E598" t="s">
        <v>29</v>
      </c>
      <c r="F598">
        <v>8000</v>
      </c>
      <c r="G598">
        <v>46</v>
      </c>
      <c r="H598" t="s">
        <v>13</v>
      </c>
      <c r="I598" t="s">
        <v>14</v>
      </c>
      <c r="J598">
        <v>3</v>
      </c>
      <c r="K598" s="1" t="str">
        <f t="shared" si="27"/>
        <v>45-59</v>
      </c>
      <c r="L598" s="1" t="str">
        <f t="shared" si="28"/>
        <v>Medium</v>
      </c>
      <c r="M598" s="1" t="str">
        <f t="shared" si="29"/>
        <v>No</v>
      </c>
    </row>
    <row r="599" spans="1:13" x14ac:dyDescent="0.35">
      <c r="A599">
        <v>608</v>
      </c>
      <c r="B599">
        <v>40</v>
      </c>
      <c r="C599" t="s">
        <v>15</v>
      </c>
      <c r="D599" t="s">
        <v>30</v>
      </c>
      <c r="E599" t="s">
        <v>31</v>
      </c>
      <c r="F599">
        <v>3000</v>
      </c>
      <c r="G599">
        <v>46</v>
      </c>
      <c r="H599" t="s">
        <v>13</v>
      </c>
      <c r="I599" t="s">
        <v>14</v>
      </c>
      <c r="J599">
        <v>4</v>
      </c>
      <c r="K599" s="1" t="str">
        <f t="shared" si="27"/>
        <v>30-44</v>
      </c>
      <c r="L599" s="1" t="str">
        <f t="shared" si="28"/>
        <v>Medium</v>
      </c>
      <c r="M599" s="1" t="str">
        <f t="shared" si="29"/>
        <v>Yes</v>
      </c>
    </row>
    <row r="600" spans="1:13" x14ac:dyDescent="0.35">
      <c r="A600">
        <v>609</v>
      </c>
      <c r="B600">
        <v>78</v>
      </c>
      <c r="C600" t="s">
        <v>10</v>
      </c>
      <c r="D600" t="s">
        <v>32</v>
      </c>
      <c r="E600" t="s">
        <v>33</v>
      </c>
      <c r="F600">
        <v>18000</v>
      </c>
      <c r="G600">
        <v>48</v>
      </c>
      <c r="H600" t="s">
        <v>18</v>
      </c>
      <c r="I600" t="s">
        <v>19</v>
      </c>
      <c r="J600">
        <v>2</v>
      </c>
      <c r="K600" s="1" t="str">
        <f t="shared" si="27"/>
        <v>75+</v>
      </c>
      <c r="L600" s="1" t="str">
        <f t="shared" si="28"/>
        <v>High</v>
      </c>
      <c r="M600" s="1" t="str">
        <f t="shared" si="29"/>
        <v>No</v>
      </c>
    </row>
    <row r="601" spans="1:13" x14ac:dyDescent="0.35">
      <c r="A601">
        <v>610</v>
      </c>
      <c r="B601">
        <v>25</v>
      </c>
      <c r="C601" t="s">
        <v>15</v>
      </c>
      <c r="D601" t="s">
        <v>34</v>
      </c>
      <c r="E601" t="s">
        <v>35</v>
      </c>
      <c r="F601">
        <v>100</v>
      </c>
      <c r="G601">
        <v>41</v>
      </c>
      <c r="H601" t="s">
        <v>13</v>
      </c>
      <c r="I601" t="s">
        <v>14</v>
      </c>
      <c r="J601">
        <v>5</v>
      </c>
      <c r="K601" s="1" t="str">
        <f t="shared" si="27"/>
        <v>18-29</v>
      </c>
      <c r="L601" s="1" t="str">
        <f t="shared" si="28"/>
        <v>Low</v>
      </c>
      <c r="M601" s="1" t="str">
        <f t="shared" si="29"/>
        <v>Yes</v>
      </c>
    </row>
    <row r="602" spans="1:13" x14ac:dyDescent="0.35">
      <c r="A602">
        <v>611</v>
      </c>
      <c r="B602">
        <v>52</v>
      </c>
      <c r="C602" t="s">
        <v>10</v>
      </c>
      <c r="D602" t="s">
        <v>36</v>
      </c>
      <c r="E602" t="s">
        <v>37</v>
      </c>
      <c r="F602">
        <v>800</v>
      </c>
      <c r="G602">
        <v>42</v>
      </c>
      <c r="H602" t="s">
        <v>13</v>
      </c>
      <c r="I602" t="s">
        <v>19</v>
      </c>
      <c r="J602">
        <v>4</v>
      </c>
      <c r="K602" s="1" t="str">
        <f t="shared" si="27"/>
        <v>45-59</v>
      </c>
      <c r="L602" s="1" t="str">
        <f t="shared" si="28"/>
        <v>Low</v>
      </c>
      <c r="M602" s="1" t="str">
        <f t="shared" si="29"/>
        <v>Yes</v>
      </c>
    </row>
    <row r="603" spans="1:13" x14ac:dyDescent="0.35">
      <c r="A603">
        <v>612</v>
      </c>
      <c r="B603">
        <v>58</v>
      </c>
      <c r="C603" t="s">
        <v>15</v>
      </c>
      <c r="D603" t="s">
        <v>38</v>
      </c>
      <c r="E603" t="s">
        <v>39</v>
      </c>
      <c r="F603">
        <v>20000</v>
      </c>
      <c r="G603">
        <v>49</v>
      </c>
      <c r="H603" t="s">
        <v>13</v>
      </c>
      <c r="I603" t="s">
        <v>14</v>
      </c>
      <c r="J603">
        <v>3</v>
      </c>
      <c r="K603" s="1" t="str">
        <f t="shared" si="27"/>
        <v>45-59</v>
      </c>
      <c r="L603" s="1" t="str">
        <f t="shared" si="28"/>
        <v>High</v>
      </c>
      <c r="M603" s="1" t="str">
        <f t="shared" si="29"/>
        <v>No</v>
      </c>
    </row>
    <row r="604" spans="1:13" x14ac:dyDescent="0.35">
      <c r="A604">
        <v>613</v>
      </c>
      <c r="B604">
        <v>32</v>
      </c>
      <c r="C604" t="s">
        <v>10</v>
      </c>
      <c r="D604" t="s">
        <v>40</v>
      </c>
      <c r="E604" t="s">
        <v>41</v>
      </c>
      <c r="F604">
        <v>12000</v>
      </c>
      <c r="G604">
        <v>43</v>
      </c>
      <c r="H604" t="s">
        <v>13</v>
      </c>
      <c r="I604" t="s">
        <v>14</v>
      </c>
      <c r="J604">
        <v>4</v>
      </c>
      <c r="K604" s="1" t="str">
        <f t="shared" si="27"/>
        <v>30-44</v>
      </c>
      <c r="L604" s="1" t="str">
        <f t="shared" si="28"/>
        <v>High</v>
      </c>
      <c r="M604" s="1" t="str">
        <f t="shared" si="29"/>
        <v>Yes</v>
      </c>
    </row>
    <row r="605" spans="1:13" x14ac:dyDescent="0.35">
      <c r="A605">
        <v>614</v>
      </c>
      <c r="B605">
        <v>55</v>
      </c>
      <c r="C605" t="s">
        <v>15</v>
      </c>
      <c r="D605" t="s">
        <v>42</v>
      </c>
      <c r="E605" t="s">
        <v>43</v>
      </c>
      <c r="F605">
        <v>6000</v>
      </c>
      <c r="G605">
        <v>44</v>
      </c>
      <c r="H605" t="s">
        <v>13</v>
      </c>
      <c r="I605" t="s">
        <v>14</v>
      </c>
      <c r="J605">
        <v>3</v>
      </c>
      <c r="K605" s="1" t="str">
        <f t="shared" si="27"/>
        <v>45-59</v>
      </c>
      <c r="L605" s="1" t="str">
        <f t="shared" si="28"/>
        <v>Medium</v>
      </c>
      <c r="M605" s="1" t="str">
        <f t="shared" si="29"/>
        <v>No</v>
      </c>
    </row>
    <row r="606" spans="1:13" x14ac:dyDescent="0.35">
      <c r="A606">
        <v>615</v>
      </c>
      <c r="B606">
        <v>65</v>
      </c>
      <c r="C606" t="s">
        <v>10</v>
      </c>
      <c r="D606" t="s">
        <v>44</v>
      </c>
      <c r="E606" t="s">
        <v>45</v>
      </c>
      <c r="F606">
        <v>4000</v>
      </c>
      <c r="G606">
        <v>45</v>
      </c>
      <c r="H606" t="s">
        <v>13</v>
      </c>
      <c r="I606" t="s">
        <v>19</v>
      </c>
      <c r="J606">
        <v>4</v>
      </c>
      <c r="K606" s="1" t="str">
        <f t="shared" si="27"/>
        <v>60-74</v>
      </c>
      <c r="L606" s="1" t="str">
        <f t="shared" si="28"/>
        <v>Medium</v>
      </c>
      <c r="M606" s="1" t="str">
        <f t="shared" si="29"/>
        <v>Yes</v>
      </c>
    </row>
    <row r="607" spans="1:13" x14ac:dyDescent="0.35">
      <c r="A607">
        <v>616</v>
      </c>
      <c r="B607">
        <v>55</v>
      </c>
      <c r="C607" t="s">
        <v>10</v>
      </c>
      <c r="D607" t="s">
        <v>11</v>
      </c>
      <c r="E607" t="s">
        <v>12</v>
      </c>
      <c r="F607">
        <v>15000</v>
      </c>
      <c r="G607">
        <v>46</v>
      </c>
      <c r="H607" t="s">
        <v>18</v>
      </c>
      <c r="I607" t="s">
        <v>14</v>
      </c>
      <c r="J607">
        <v>3</v>
      </c>
      <c r="K607" s="1" t="str">
        <f t="shared" si="27"/>
        <v>45-59</v>
      </c>
      <c r="L607" s="1" t="str">
        <f t="shared" si="28"/>
        <v>High</v>
      </c>
      <c r="M607" s="1" t="str">
        <f t="shared" si="29"/>
        <v>No</v>
      </c>
    </row>
    <row r="608" spans="1:13" x14ac:dyDescent="0.35">
      <c r="A608">
        <v>617</v>
      </c>
      <c r="B608">
        <v>62</v>
      </c>
      <c r="C608" t="s">
        <v>15</v>
      </c>
      <c r="D608" t="s">
        <v>16</v>
      </c>
      <c r="E608" t="s">
        <v>17</v>
      </c>
      <c r="F608">
        <v>2000</v>
      </c>
      <c r="G608">
        <v>44</v>
      </c>
      <c r="H608" t="s">
        <v>13</v>
      </c>
      <c r="I608" t="s">
        <v>19</v>
      </c>
      <c r="J608">
        <v>4</v>
      </c>
      <c r="K608" s="1" t="str">
        <f t="shared" si="27"/>
        <v>60-74</v>
      </c>
      <c r="L608" s="1" t="str">
        <f t="shared" si="28"/>
        <v>Medium</v>
      </c>
      <c r="M608" s="1" t="str">
        <f t="shared" si="29"/>
        <v>Yes</v>
      </c>
    </row>
    <row r="609" spans="1:13" x14ac:dyDescent="0.35">
      <c r="A609">
        <v>618</v>
      </c>
      <c r="B609">
        <v>35</v>
      </c>
      <c r="C609" t="s">
        <v>10</v>
      </c>
      <c r="D609" t="s">
        <v>20</v>
      </c>
      <c r="E609" t="s">
        <v>21</v>
      </c>
      <c r="F609">
        <v>500</v>
      </c>
      <c r="G609">
        <v>42</v>
      </c>
      <c r="H609" t="s">
        <v>18</v>
      </c>
      <c r="I609" t="s">
        <v>14</v>
      </c>
      <c r="J609">
        <v>5</v>
      </c>
      <c r="K609" s="1" t="str">
        <f t="shared" si="27"/>
        <v>30-44</v>
      </c>
      <c r="L609" s="1" t="str">
        <f t="shared" si="28"/>
        <v>Low</v>
      </c>
      <c r="M609" s="1" t="str">
        <f t="shared" si="29"/>
        <v>Yes</v>
      </c>
    </row>
    <row r="610" spans="1:13" x14ac:dyDescent="0.35">
      <c r="A610">
        <v>619</v>
      </c>
      <c r="B610">
        <v>78</v>
      </c>
      <c r="C610" t="s">
        <v>15</v>
      </c>
      <c r="D610" t="s">
        <v>22</v>
      </c>
      <c r="E610" t="s">
        <v>23</v>
      </c>
      <c r="F610">
        <v>10000</v>
      </c>
      <c r="G610">
        <v>49</v>
      </c>
      <c r="H610" t="s">
        <v>13</v>
      </c>
      <c r="I610" t="s">
        <v>19</v>
      </c>
      <c r="J610">
        <v>2</v>
      </c>
      <c r="K610" s="1" t="str">
        <f t="shared" si="27"/>
        <v>75+</v>
      </c>
      <c r="L610" s="1" t="str">
        <f t="shared" si="28"/>
        <v>High</v>
      </c>
      <c r="M610" s="1" t="str">
        <f t="shared" si="29"/>
        <v>No</v>
      </c>
    </row>
    <row r="611" spans="1:13" x14ac:dyDescent="0.35">
      <c r="A611">
        <v>620</v>
      </c>
      <c r="B611">
        <v>53</v>
      </c>
      <c r="C611" t="s">
        <v>10</v>
      </c>
      <c r="D611" t="s">
        <v>24</v>
      </c>
      <c r="E611" t="s">
        <v>25</v>
      </c>
      <c r="F611">
        <v>25000</v>
      </c>
      <c r="G611">
        <v>51</v>
      </c>
      <c r="H611" t="s">
        <v>18</v>
      </c>
      <c r="I611" t="s">
        <v>14</v>
      </c>
      <c r="J611">
        <v>4</v>
      </c>
      <c r="K611" s="1" t="str">
        <f t="shared" si="27"/>
        <v>45-59</v>
      </c>
      <c r="L611" s="1" t="str">
        <f t="shared" si="28"/>
        <v>High</v>
      </c>
      <c r="M611" s="1" t="str">
        <f t="shared" si="29"/>
        <v>Yes</v>
      </c>
    </row>
    <row r="612" spans="1:13" x14ac:dyDescent="0.35">
      <c r="A612">
        <v>621</v>
      </c>
      <c r="B612">
        <v>72</v>
      </c>
      <c r="C612" t="s">
        <v>15</v>
      </c>
      <c r="D612" t="s">
        <v>26</v>
      </c>
      <c r="E612" t="s">
        <v>27</v>
      </c>
      <c r="F612">
        <v>1000</v>
      </c>
      <c r="G612">
        <v>45</v>
      </c>
      <c r="H612" t="s">
        <v>13</v>
      </c>
      <c r="I612" t="s">
        <v>19</v>
      </c>
      <c r="J612">
        <v>4</v>
      </c>
      <c r="K612" s="1" t="str">
        <f t="shared" si="27"/>
        <v>60-74</v>
      </c>
      <c r="L612" s="1" t="str">
        <f t="shared" si="28"/>
        <v>Low</v>
      </c>
      <c r="M612" s="1" t="str">
        <f t="shared" si="29"/>
        <v>Yes</v>
      </c>
    </row>
    <row r="613" spans="1:13" x14ac:dyDescent="0.35">
      <c r="A613">
        <v>622</v>
      </c>
      <c r="B613">
        <v>60</v>
      </c>
      <c r="C613" t="s">
        <v>10</v>
      </c>
      <c r="D613" t="s">
        <v>28</v>
      </c>
      <c r="E613" t="s">
        <v>29</v>
      </c>
      <c r="F613">
        <v>8000</v>
      </c>
      <c r="G613">
        <v>47</v>
      </c>
      <c r="H613" t="s">
        <v>18</v>
      </c>
      <c r="I613" t="s">
        <v>14</v>
      </c>
      <c r="J613">
        <v>3</v>
      </c>
      <c r="K613" s="1" t="str">
        <f t="shared" si="27"/>
        <v>60-74</v>
      </c>
      <c r="L613" s="1" t="str">
        <f t="shared" si="28"/>
        <v>Medium</v>
      </c>
      <c r="M613" s="1" t="str">
        <f t="shared" si="29"/>
        <v>No</v>
      </c>
    </row>
    <row r="614" spans="1:13" x14ac:dyDescent="0.35">
      <c r="A614">
        <v>623</v>
      </c>
      <c r="B614">
        <v>45</v>
      </c>
      <c r="C614" t="s">
        <v>15</v>
      </c>
      <c r="D614" t="s">
        <v>30</v>
      </c>
      <c r="E614" t="s">
        <v>31</v>
      </c>
      <c r="F614">
        <v>3000</v>
      </c>
      <c r="G614">
        <v>47</v>
      </c>
      <c r="H614" t="s">
        <v>13</v>
      </c>
      <c r="I614" t="s">
        <v>14</v>
      </c>
      <c r="J614">
        <v>4</v>
      </c>
      <c r="K614" s="1" t="str">
        <f t="shared" si="27"/>
        <v>45-59</v>
      </c>
      <c r="L614" s="1" t="str">
        <f t="shared" si="28"/>
        <v>Medium</v>
      </c>
      <c r="M614" s="1" t="str">
        <f t="shared" si="29"/>
        <v>Yes</v>
      </c>
    </row>
    <row r="615" spans="1:13" x14ac:dyDescent="0.35">
      <c r="A615">
        <v>624</v>
      </c>
      <c r="B615">
        <v>75</v>
      </c>
      <c r="C615" t="s">
        <v>10</v>
      </c>
      <c r="D615" t="s">
        <v>32</v>
      </c>
      <c r="E615" t="s">
        <v>33</v>
      </c>
      <c r="F615">
        <v>18000</v>
      </c>
      <c r="G615">
        <v>49</v>
      </c>
      <c r="H615" t="s">
        <v>18</v>
      </c>
      <c r="I615" t="s">
        <v>19</v>
      </c>
      <c r="J615">
        <v>2</v>
      </c>
      <c r="K615" s="1" t="str">
        <f t="shared" si="27"/>
        <v>75+</v>
      </c>
      <c r="L615" s="1" t="str">
        <f t="shared" si="28"/>
        <v>High</v>
      </c>
      <c r="M615" s="1" t="str">
        <f t="shared" si="29"/>
        <v>No</v>
      </c>
    </row>
    <row r="616" spans="1:13" x14ac:dyDescent="0.35">
      <c r="A616">
        <v>625</v>
      </c>
      <c r="B616">
        <v>28</v>
      </c>
      <c r="C616" t="s">
        <v>15</v>
      </c>
      <c r="D616" t="s">
        <v>34</v>
      </c>
      <c r="E616" t="s">
        <v>35</v>
      </c>
      <c r="F616">
        <v>100</v>
      </c>
      <c r="G616">
        <v>42</v>
      </c>
      <c r="H616" t="s">
        <v>13</v>
      </c>
      <c r="I616" t="s">
        <v>14</v>
      </c>
      <c r="J616">
        <v>5</v>
      </c>
      <c r="K616" s="1" t="str">
        <f t="shared" si="27"/>
        <v>18-29</v>
      </c>
      <c r="L616" s="1" t="str">
        <f t="shared" si="28"/>
        <v>Low</v>
      </c>
      <c r="M616" s="1" t="str">
        <f t="shared" si="29"/>
        <v>Yes</v>
      </c>
    </row>
    <row r="617" spans="1:13" x14ac:dyDescent="0.35">
      <c r="A617">
        <v>626</v>
      </c>
      <c r="B617">
        <v>52</v>
      </c>
      <c r="C617" t="s">
        <v>10</v>
      </c>
      <c r="D617" t="s">
        <v>36</v>
      </c>
      <c r="E617" t="s">
        <v>37</v>
      </c>
      <c r="F617">
        <v>800</v>
      </c>
      <c r="G617">
        <v>43</v>
      </c>
      <c r="H617" t="s">
        <v>13</v>
      </c>
      <c r="I617" t="s">
        <v>19</v>
      </c>
      <c r="J617">
        <v>4</v>
      </c>
      <c r="K617" s="1" t="str">
        <f t="shared" si="27"/>
        <v>45-59</v>
      </c>
      <c r="L617" s="1" t="str">
        <f t="shared" si="28"/>
        <v>Low</v>
      </c>
      <c r="M617" s="1" t="str">
        <f t="shared" si="29"/>
        <v>Yes</v>
      </c>
    </row>
    <row r="618" spans="1:13" x14ac:dyDescent="0.35">
      <c r="A618">
        <v>627</v>
      </c>
      <c r="B618">
        <v>67</v>
      </c>
      <c r="C618" t="s">
        <v>15</v>
      </c>
      <c r="D618" t="s">
        <v>38</v>
      </c>
      <c r="E618" t="s">
        <v>39</v>
      </c>
      <c r="F618">
        <v>20000</v>
      </c>
      <c r="G618">
        <v>50</v>
      </c>
      <c r="H618" t="s">
        <v>13</v>
      </c>
      <c r="I618" t="s">
        <v>14</v>
      </c>
      <c r="J618">
        <v>3</v>
      </c>
      <c r="K618" s="1" t="str">
        <f t="shared" si="27"/>
        <v>60-74</v>
      </c>
      <c r="L618" s="1" t="str">
        <f t="shared" si="28"/>
        <v>High</v>
      </c>
      <c r="M618" s="1" t="str">
        <f t="shared" si="29"/>
        <v>No</v>
      </c>
    </row>
    <row r="619" spans="1:13" x14ac:dyDescent="0.35">
      <c r="A619">
        <v>628</v>
      </c>
      <c r="B619">
        <v>35</v>
      </c>
      <c r="C619" t="s">
        <v>10</v>
      </c>
      <c r="D619" t="s">
        <v>40</v>
      </c>
      <c r="E619" t="s">
        <v>41</v>
      </c>
      <c r="F619">
        <v>12000</v>
      </c>
      <c r="G619">
        <v>44</v>
      </c>
      <c r="H619" t="s">
        <v>13</v>
      </c>
      <c r="I619" t="s">
        <v>14</v>
      </c>
      <c r="J619">
        <v>4</v>
      </c>
      <c r="K619" s="1" t="str">
        <f t="shared" si="27"/>
        <v>30-44</v>
      </c>
      <c r="L619" s="1" t="str">
        <f t="shared" si="28"/>
        <v>High</v>
      </c>
      <c r="M619" s="1" t="str">
        <f t="shared" si="29"/>
        <v>Yes</v>
      </c>
    </row>
    <row r="620" spans="1:13" x14ac:dyDescent="0.35">
      <c r="A620">
        <v>629</v>
      </c>
      <c r="B620">
        <v>50</v>
      </c>
      <c r="C620" t="s">
        <v>15</v>
      </c>
      <c r="D620" t="s">
        <v>42</v>
      </c>
      <c r="E620" t="s">
        <v>43</v>
      </c>
      <c r="F620">
        <v>6000</v>
      </c>
      <c r="G620">
        <v>45</v>
      </c>
      <c r="H620" t="s">
        <v>13</v>
      </c>
      <c r="I620" t="s">
        <v>14</v>
      </c>
      <c r="J620">
        <v>3</v>
      </c>
      <c r="K620" s="1" t="str">
        <f t="shared" si="27"/>
        <v>45-59</v>
      </c>
      <c r="L620" s="1" t="str">
        <f t="shared" si="28"/>
        <v>Medium</v>
      </c>
      <c r="M620" s="1" t="str">
        <f t="shared" si="29"/>
        <v>No</v>
      </c>
    </row>
    <row r="621" spans="1:13" x14ac:dyDescent="0.35">
      <c r="A621">
        <v>630</v>
      </c>
      <c r="B621">
        <v>60</v>
      </c>
      <c r="C621" t="s">
        <v>10</v>
      </c>
      <c r="D621" t="s">
        <v>44</v>
      </c>
      <c r="E621" t="s">
        <v>45</v>
      </c>
      <c r="F621">
        <v>4000</v>
      </c>
      <c r="G621">
        <v>46</v>
      </c>
      <c r="H621" t="s">
        <v>13</v>
      </c>
      <c r="I621" t="s">
        <v>19</v>
      </c>
      <c r="J621">
        <v>4</v>
      </c>
      <c r="K621" s="1" t="str">
        <f t="shared" si="27"/>
        <v>60-74</v>
      </c>
      <c r="L621" s="1" t="str">
        <f t="shared" si="28"/>
        <v>Medium</v>
      </c>
      <c r="M621" s="1" t="str">
        <f t="shared" si="29"/>
        <v>Yes</v>
      </c>
    </row>
    <row r="622" spans="1:13" x14ac:dyDescent="0.35">
      <c r="A622">
        <v>631</v>
      </c>
      <c r="B622">
        <v>48</v>
      </c>
      <c r="C622" t="s">
        <v>10</v>
      </c>
      <c r="D622" t="s">
        <v>11</v>
      </c>
      <c r="E622" t="s">
        <v>12</v>
      </c>
      <c r="F622">
        <v>15000</v>
      </c>
      <c r="G622">
        <v>47</v>
      </c>
      <c r="H622" t="s">
        <v>18</v>
      </c>
      <c r="I622" t="s">
        <v>14</v>
      </c>
      <c r="J622">
        <v>4</v>
      </c>
      <c r="K622" s="1" t="str">
        <f t="shared" si="27"/>
        <v>45-59</v>
      </c>
      <c r="L622" s="1" t="str">
        <f t="shared" si="28"/>
        <v>High</v>
      </c>
      <c r="M622" s="1" t="str">
        <f t="shared" si="29"/>
        <v>Yes</v>
      </c>
    </row>
    <row r="623" spans="1:13" x14ac:dyDescent="0.35">
      <c r="A623">
        <v>632</v>
      </c>
      <c r="B623">
        <v>65</v>
      </c>
      <c r="C623" t="s">
        <v>15</v>
      </c>
      <c r="D623" t="s">
        <v>16</v>
      </c>
      <c r="E623" t="s">
        <v>17</v>
      </c>
      <c r="F623">
        <v>2000</v>
      </c>
      <c r="G623">
        <v>45</v>
      </c>
      <c r="H623" t="s">
        <v>13</v>
      </c>
      <c r="I623" t="s">
        <v>19</v>
      </c>
      <c r="J623">
        <v>3</v>
      </c>
      <c r="K623" s="1" t="str">
        <f t="shared" si="27"/>
        <v>60-74</v>
      </c>
      <c r="L623" s="1" t="str">
        <f t="shared" si="28"/>
        <v>Medium</v>
      </c>
      <c r="M623" s="1" t="str">
        <f t="shared" si="29"/>
        <v>No</v>
      </c>
    </row>
    <row r="624" spans="1:13" x14ac:dyDescent="0.35">
      <c r="A624">
        <v>633</v>
      </c>
      <c r="B624">
        <v>30</v>
      </c>
      <c r="C624" t="s">
        <v>10</v>
      </c>
      <c r="D624" t="s">
        <v>20</v>
      </c>
      <c r="E624" t="s">
        <v>21</v>
      </c>
      <c r="F624">
        <v>500</v>
      </c>
      <c r="G624">
        <v>43</v>
      </c>
      <c r="H624" t="s">
        <v>13</v>
      </c>
      <c r="I624" t="s">
        <v>14</v>
      </c>
      <c r="J624">
        <v>5</v>
      </c>
      <c r="K624" s="1" t="str">
        <f t="shared" si="27"/>
        <v>30-44</v>
      </c>
      <c r="L624" s="1" t="str">
        <f t="shared" si="28"/>
        <v>Low</v>
      </c>
      <c r="M624" s="1" t="str">
        <f t="shared" si="29"/>
        <v>Yes</v>
      </c>
    </row>
    <row r="625" spans="1:13" x14ac:dyDescent="0.35">
      <c r="A625">
        <v>634</v>
      </c>
      <c r="B625">
        <v>70</v>
      </c>
      <c r="C625" t="s">
        <v>15</v>
      </c>
      <c r="D625" t="s">
        <v>22</v>
      </c>
      <c r="E625" t="s">
        <v>23</v>
      </c>
      <c r="F625">
        <v>10000</v>
      </c>
      <c r="G625">
        <v>50</v>
      </c>
      <c r="H625" t="s">
        <v>18</v>
      </c>
      <c r="I625" t="s">
        <v>19</v>
      </c>
      <c r="J625">
        <v>2</v>
      </c>
      <c r="K625" s="1" t="str">
        <f t="shared" si="27"/>
        <v>60-74</v>
      </c>
      <c r="L625" s="1" t="str">
        <f t="shared" si="28"/>
        <v>High</v>
      </c>
      <c r="M625" s="1" t="str">
        <f t="shared" si="29"/>
        <v>No</v>
      </c>
    </row>
    <row r="626" spans="1:13" x14ac:dyDescent="0.35">
      <c r="A626">
        <v>635</v>
      </c>
      <c r="B626">
        <v>55</v>
      </c>
      <c r="C626" t="s">
        <v>10</v>
      </c>
      <c r="D626" t="s">
        <v>24</v>
      </c>
      <c r="E626" t="s">
        <v>25</v>
      </c>
      <c r="F626">
        <v>25000</v>
      </c>
      <c r="G626">
        <v>52</v>
      </c>
      <c r="H626" t="s">
        <v>13</v>
      </c>
      <c r="I626" t="s">
        <v>14</v>
      </c>
      <c r="J626">
        <v>4</v>
      </c>
      <c r="K626" s="1" t="str">
        <f t="shared" si="27"/>
        <v>45-59</v>
      </c>
      <c r="L626" s="1" t="str">
        <f t="shared" si="28"/>
        <v>High</v>
      </c>
      <c r="M626" s="1" t="str">
        <f t="shared" si="29"/>
        <v>Yes</v>
      </c>
    </row>
    <row r="627" spans="1:13" x14ac:dyDescent="0.35">
      <c r="A627">
        <v>636</v>
      </c>
      <c r="B627">
        <v>68</v>
      </c>
      <c r="C627" t="s">
        <v>15</v>
      </c>
      <c r="D627" t="s">
        <v>26</v>
      </c>
      <c r="E627" t="s">
        <v>27</v>
      </c>
      <c r="F627">
        <v>1000</v>
      </c>
      <c r="G627">
        <v>46</v>
      </c>
      <c r="H627" t="s">
        <v>13</v>
      </c>
      <c r="I627" t="s">
        <v>19</v>
      </c>
      <c r="J627">
        <v>4</v>
      </c>
      <c r="K627" s="1" t="str">
        <f t="shared" si="27"/>
        <v>60-74</v>
      </c>
      <c r="L627" s="1" t="str">
        <f t="shared" si="28"/>
        <v>Low</v>
      </c>
      <c r="M627" s="1" t="str">
        <f t="shared" si="29"/>
        <v>Yes</v>
      </c>
    </row>
    <row r="628" spans="1:13" x14ac:dyDescent="0.35">
      <c r="A628">
        <v>637</v>
      </c>
      <c r="B628">
        <v>45</v>
      </c>
      <c r="C628" t="s">
        <v>10</v>
      </c>
      <c r="D628" t="s">
        <v>28</v>
      </c>
      <c r="E628" t="s">
        <v>29</v>
      </c>
      <c r="F628">
        <v>8000</v>
      </c>
      <c r="G628">
        <v>48</v>
      </c>
      <c r="H628" t="s">
        <v>13</v>
      </c>
      <c r="I628" t="s">
        <v>14</v>
      </c>
      <c r="J628">
        <v>3</v>
      </c>
      <c r="K628" s="1" t="str">
        <f t="shared" si="27"/>
        <v>45-59</v>
      </c>
      <c r="L628" s="1" t="str">
        <f t="shared" si="28"/>
        <v>Medium</v>
      </c>
      <c r="M628" s="1" t="str">
        <f t="shared" si="29"/>
        <v>No</v>
      </c>
    </row>
    <row r="629" spans="1:13" x14ac:dyDescent="0.35">
      <c r="A629">
        <v>638</v>
      </c>
      <c r="B629">
        <v>40</v>
      </c>
      <c r="C629" t="s">
        <v>15</v>
      </c>
      <c r="D629" t="s">
        <v>30</v>
      </c>
      <c r="E629" t="s">
        <v>31</v>
      </c>
      <c r="F629">
        <v>3000</v>
      </c>
      <c r="G629">
        <v>48</v>
      </c>
      <c r="H629" t="s">
        <v>13</v>
      </c>
      <c r="I629" t="s">
        <v>14</v>
      </c>
      <c r="J629">
        <v>4</v>
      </c>
      <c r="K629" s="1" t="str">
        <f t="shared" si="27"/>
        <v>30-44</v>
      </c>
      <c r="L629" s="1" t="str">
        <f t="shared" si="28"/>
        <v>Medium</v>
      </c>
      <c r="M629" s="1" t="str">
        <f t="shared" si="29"/>
        <v>Yes</v>
      </c>
    </row>
    <row r="630" spans="1:13" x14ac:dyDescent="0.35">
      <c r="A630">
        <v>639</v>
      </c>
      <c r="B630">
        <v>78</v>
      </c>
      <c r="C630" t="s">
        <v>10</v>
      </c>
      <c r="D630" t="s">
        <v>32</v>
      </c>
      <c r="E630" t="s">
        <v>33</v>
      </c>
      <c r="F630">
        <v>18000</v>
      </c>
      <c r="G630">
        <v>50</v>
      </c>
      <c r="H630" t="s">
        <v>18</v>
      </c>
      <c r="I630" t="s">
        <v>19</v>
      </c>
      <c r="J630">
        <v>2</v>
      </c>
      <c r="K630" s="1" t="str">
        <f t="shared" si="27"/>
        <v>75+</v>
      </c>
      <c r="L630" s="1" t="str">
        <f t="shared" si="28"/>
        <v>High</v>
      </c>
      <c r="M630" s="1" t="str">
        <f t="shared" si="29"/>
        <v>No</v>
      </c>
    </row>
    <row r="631" spans="1:13" x14ac:dyDescent="0.35">
      <c r="A631">
        <v>640</v>
      </c>
      <c r="B631">
        <v>25</v>
      </c>
      <c r="C631" t="s">
        <v>15</v>
      </c>
      <c r="D631" t="s">
        <v>34</v>
      </c>
      <c r="E631" t="s">
        <v>35</v>
      </c>
      <c r="F631">
        <v>100</v>
      </c>
      <c r="G631">
        <v>43</v>
      </c>
      <c r="H631" t="s">
        <v>13</v>
      </c>
      <c r="I631" t="s">
        <v>14</v>
      </c>
      <c r="J631">
        <v>5</v>
      </c>
      <c r="K631" s="1" t="str">
        <f t="shared" si="27"/>
        <v>18-29</v>
      </c>
      <c r="L631" s="1" t="str">
        <f t="shared" si="28"/>
        <v>Low</v>
      </c>
      <c r="M631" s="1" t="str">
        <f t="shared" si="29"/>
        <v>Yes</v>
      </c>
    </row>
    <row r="632" spans="1:13" x14ac:dyDescent="0.35">
      <c r="A632">
        <v>641</v>
      </c>
      <c r="B632">
        <v>52</v>
      </c>
      <c r="C632" t="s">
        <v>10</v>
      </c>
      <c r="D632" t="s">
        <v>36</v>
      </c>
      <c r="E632" t="s">
        <v>37</v>
      </c>
      <c r="F632">
        <v>800</v>
      </c>
      <c r="G632">
        <v>44</v>
      </c>
      <c r="H632" t="s">
        <v>13</v>
      </c>
      <c r="I632" t="s">
        <v>19</v>
      </c>
      <c r="J632">
        <v>4</v>
      </c>
      <c r="K632" s="1" t="str">
        <f t="shared" si="27"/>
        <v>45-59</v>
      </c>
      <c r="L632" s="1" t="str">
        <f t="shared" si="28"/>
        <v>Low</v>
      </c>
      <c r="M632" s="1" t="str">
        <f t="shared" si="29"/>
        <v>Yes</v>
      </c>
    </row>
    <row r="633" spans="1:13" x14ac:dyDescent="0.35">
      <c r="A633">
        <v>642</v>
      </c>
      <c r="B633">
        <v>58</v>
      </c>
      <c r="C633" t="s">
        <v>15</v>
      </c>
      <c r="D633" t="s">
        <v>38</v>
      </c>
      <c r="E633" t="s">
        <v>39</v>
      </c>
      <c r="F633">
        <v>20000</v>
      </c>
      <c r="G633">
        <v>51</v>
      </c>
      <c r="H633" t="s">
        <v>13</v>
      </c>
      <c r="I633" t="s">
        <v>14</v>
      </c>
      <c r="J633">
        <v>3</v>
      </c>
      <c r="K633" s="1" t="str">
        <f t="shared" si="27"/>
        <v>45-59</v>
      </c>
      <c r="L633" s="1" t="str">
        <f t="shared" si="28"/>
        <v>High</v>
      </c>
      <c r="M633" s="1" t="str">
        <f t="shared" si="29"/>
        <v>No</v>
      </c>
    </row>
    <row r="634" spans="1:13" x14ac:dyDescent="0.35">
      <c r="A634">
        <v>643</v>
      </c>
      <c r="B634">
        <v>32</v>
      </c>
      <c r="C634" t="s">
        <v>10</v>
      </c>
      <c r="D634" t="s">
        <v>40</v>
      </c>
      <c r="E634" t="s">
        <v>41</v>
      </c>
      <c r="F634">
        <v>12000</v>
      </c>
      <c r="G634">
        <v>45</v>
      </c>
      <c r="H634" t="s">
        <v>13</v>
      </c>
      <c r="I634" t="s">
        <v>14</v>
      </c>
      <c r="J634">
        <v>4</v>
      </c>
      <c r="K634" s="1" t="str">
        <f t="shared" si="27"/>
        <v>30-44</v>
      </c>
      <c r="L634" s="1" t="str">
        <f t="shared" si="28"/>
        <v>High</v>
      </c>
      <c r="M634" s="1" t="str">
        <f t="shared" si="29"/>
        <v>Yes</v>
      </c>
    </row>
    <row r="635" spans="1:13" x14ac:dyDescent="0.35">
      <c r="A635">
        <v>644</v>
      </c>
      <c r="B635">
        <v>55</v>
      </c>
      <c r="C635" t="s">
        <v>15</v>
      </c>
      <c r="D635" t="s">
        <v>42</v>
      </c>
      <c r="E635" t="s">
        <v>43</v>
      </c>
      <c r="F635">
        <v>6000</v>
      </c>
      <c r="G635">
        <v>46</v>
      </c>
      <c r="H635" t="s">
        <v>13</v>
      </c>
      <c r="I635" t="s">
        <v>14</v>
      </c>
      <c r="J635">
        <v>3</v>
      </c>
      <c r="K635" s="1" t="str">
        <f t="shared" si="27"/>
        <v>45-59</v>
      </c>
      <c r="L635" s="1" t="str">
        <f t="shared" si="28"/>
        <v>Medium</v>
      </c>
      <c r="M635" s="1" t="str">
        <f t="shared" si="29"/>
        <v>No</v>
      </c>
    </row>
    <row r="636" spans="1:13" x14ac:dyDescent="0.35">
      <c r="A636">
        <v>645</v>
      </c>
      <c r="B636">
        <v>65</v>
      </c>
      <c r="C636" t="s">
        <v>10</v>
      </c>
      <c r="D636" t="s">
        <v>44</v>
      </c>
      <c r="E636" t="s">
        <v>45</v>
      </c>
      <c r="F636">
        <v>4000</v>
      </c>
      <c r="G636">
        <v>47</v>
      </c>
      <c r="H636" t="s">
        <v>13</v>
      </c>
      <c r="I636" t="s">
        <v>19</v>
      </c>
      <c r="J636">
        <v>4</v>
      </c>
      <c r="K636" s="1" t="str">
        <f t="shared" si="27"/>
        <v>60-74</v>
      </c>
      <c r="L636" s="1" t="str">
        <f t="shared" si="28"/>
        <v>Medium</v>
      </c>
      <c r="M636" s="1" t="str">
        <f t="shared" si="29"/>
        <v>Yes</v>
      </c>
    </row>
    <row r="637" spans="1:13" x14ac:dyDescent="0.35">
      <c r="A637">
        <v>646</v>
      </c>
      <c r="B637">
        <v>55</v>
      </c>
      <c r="C637" t="s">
        <v>10</v>
      </c>
      <c r="D637" t="s">
        <v>11</v>
      </c>
      <c r="E637" t="s">
        <v>12</v>
      </c>
      <c r="F637">
        <v>15000</v>
      </c>
      <c r="G637">
        <v>48</v>
      </c>
      <c r="H637" t="s">
        <v>18</v>
      </c>
      <c r="I637" t="s">
        <v>14</v>
      </c>
      <c r="J637">
        <v>3</v>
      </c>
      <c r="K637" s="1" t="str">
        <f t="shared" si="27"/>
        <v>45-59</v>
      </c>
      <c r="L637" s="1" t="str">
        <f t="shared" si="28"/>
        <v>High</v>
      </c>
      <c r="M637" s="1" t="str">
        <f t="shared" si="29"/>
        <v>No</v>
      </c>
    </row>
    <row r="638" spans="1:13" x14ac:dyDescent="0.35">
      <c r="A638">
        <v>647</v>
      </c>
      <c r="B638">
        <v>62</v>
      </c>
      <c r="C638" t="s">
        <v>15</v>
      </c>
      <c r="D638" t="s">
        <v>16</v>
      </c>
      <c r="E638" t="s">
        <v>17</v>
      </c>
      <c r="F638">
        <v>2000</v>
      </c>
      <c r="G638">
        <v>46</v>
      </c>
      <c r="H638" t="s">
        <v>13</v>
      </c>
      <c r="I638" t="s">
        <v>19</v>
      </c>
      <c r="J638">
        <v>4</v>
      </c>
      <c r="K638" s="1" t="str">
        <f t="shared" si="27"/>
        <v>60-74</v>
      </c>
      <c r="L638" s="1" t="str">
        <f t="shared" si="28"/>
        <v>Medium</v>
      </c>
      <c r="M638" s="1" t="str">
        <f t="shared" si="29"/>
        <v>Yes</v>
      </c>
    </row>
    <row r="639" spans="1:13" x14ac:dyDescent="0.35">
      <c r="A639">
        <v>648</v>
      </c>
      <c r="B639">
        <v>35</v>
      </c>
      <c r="C639" t="s">
        <v>10</v>
      </c>
      <c r="D639" t="s">
        <v>20</v>
      </c>
      <c r="E639" t="s">
        <v>21</v>
      </c>
      <c r="F639">
        <v>500</v>
      </c>
      <c r="G639">
        <v>44</v>
      </c>
      <c r="H639" t="s">
        <v>18</v>
      </c>
      <c r="I639" t="s">
        <v>14</v>
      </c>
      <c r="J639">
        <v>5</v>
      </c>
      <c r="K639" s="1" t="str">
        <f t="shared" si="27"/>
        <v>30-44</v>
      </c>
      <c r="L639" s="1" t="str">
        <f t="shared" si="28"/>
        <v>Low</v>
      </c>
      <c r="M639" s="1" t="str">
        <f t="shared" si="29"/>
        <v>Yes</v>
      </c>
    </row>
    <row r="640" spans="1:13" x14ac:dyDescent="0.35">
      <c r="A640">
        <v>649</v>
      </c>
      <c r="B640">
        <v>78</v>
      </c>
      <c r="C640" t="s">
        <v>15</v>
      </c>
      <c r="D640" t="s">
        <v>22</v>
      </c>
      <c r="E640" t="s">
        <v>23</v>
      </c>
      <c r="F640">
        <v>10000</v>
      </c>
      <c r="G640">
        <v>51</v>
      </c>
      <c r="H640" t="s">
        <v>13</v>
      </c>
      <c r="I640" t="s">
        <v>19</v>
      </c>
      <c r="J640">
        <v>2</v>
      </c>
      <c r="K640" s="1" t="str">
        <f t="shared" si="27"/>
        <v>75+</v>
      </c>
      <c r="L640" s="1" t="str">
        <f t="shared" si="28"/>
        <v>High</v>
      </c>
      <c r="M640" s="1" t="str">
        <f t="shared" si="29"/>
        <v>No</v>
      </c>
    </row>
    <row r="641" spans="1:13" x14ac:dyDescent="0.35">
      <c r="A641">
        <v>650</v>
      </c>
      <c r="B641">
        <v>53</v>
      </c>
      <c r="C641" t="s">
        <v>10</v>
      </c>
      <c r="D641" t="s">
        <v>24</v>
      </c>
      <c r="E641" t="s">
        <v>25</v>
      </c>
      <c r="F641">
        <v>25000</v>
      </c>
      <c r="G641">
        <v>53</v>
      </c>
      <c r="H641" t="s">
        <v>18</v>
      </c>
      <c r="I641" t="s">
        <v>14</v>
      </c>
      <c r="J641">
        <v>4</v>
      </c>
      <c r="K641" s="1" t="str">
        <f t="shared" si="27"/>
        <v>45-59</v>
      </c>
      <c r="L641" s="1" t="str">
        <f t="shared" si="28"/>
        <v>High</v>
      </c>
      <c r="M641" s="1" t="str">
        <f t="shared" si="29"/>
        <v>Yes</v>
      </c>
    </row>
    <row r="642" spans="1:13" x14ac:dyDescent="0.35">
      <c r="A642">
        <v>651</v>
      </c>
      <c r="B642">
        <v>72</v>
      </c>
      <c r="C642" t="s">
        <v>15</v>
      </c>
      <c r="D642" t="s">
        <v>26</v>
      </c>
      <c r="E642" t="s">
        <v>27</v>
      </c>
      <c r="F642">
        <v>1000</v>
      </c>
      <c r="G642">
        <v>47</v>
      </c>
      <c r="H642" t="s">
        <v>13</v>
      </c>
      <c r="I642" t="s">
        <v>19</v>
      </c>
      <c r="J642">
        <v>4</v>
      </c>
      <c r="K642" s="1" t="str">
        <f t="shared" si="27"/>
        <v>60-74</v>
      </c>
      <c r="L642" s="1" t="str">
        <f t="shared" si="28"/>
        <v>Low</v>
      </c>
      <c r="M642" s="1" t="str">
        <f t="shared" si="29"/>
        <v>Yes</v>
      </c>
    </row>
    <row r="643" spans="1:13" x14ac:dyDescent="0.35">
      <c r="A643">
        <v>652</v>
      </c>
      <c r="B643">
        <v>60</v>
      </c>
      <c r="C643" t="s">
        <v>10</v>
      </c>
      <c r="D643" t="s">
        <v>28</v>
      </c>
      <c r="E643" t="s">
        <v>29</v>
      </c>
      <c r="F643">
        <v>8000</v>
      </c>
      <c r="G643">
        <v>49</v>
      </c>
      <c r="H643" t="s">
        <v>18</v>
      </c>
      <c r="I643" t="s">
        <v>14</v>
      </c>
      <c r="J643">
        <v>3</v>
      </c>
      <c r="K643" s="1" t="str">
        <f t="shared" ref="K643:K706" si="30">IF(B643&lt;30,"18-29",IF(B643&lt;45,"30-44",IF(B643&lt;60,"45-59",IF(B643&lt;75,"60-74","75+"))))</f>
        <v>60-74</v>
      </c>
      <c r="L643" s="1" t="str">
        <f t="shared" ref="L643:L706" si="31">IF(F643&lt;=1000,"Low",IF(F643&lt;=8000,"Medium","High"))</f>
        <v>Medium</v>
      </c>
      <c r="M643" s="1" t="str">
        <f t="shared" ref="M643:M706" si="32">IF(J643&gt;=4,"Yes","No")</f>
        <v>No</v>
      </c>
    </row>
    <row r="644" spans="1:13" x14ac:dyDescent="0.35">
      <c r="A644">
        <v>653</v>
      </c>
      <c r="B644">
        <v>45</v>
      </c>
      <c r="C644" t="s">
        <v>15</v>
      </c>
      <c r="D644" t="s">
        <v>30</v>
      </c>
      <c r="E644" t="s">
        <v>31</v>
      </c>
      <c r="F644">
        <v>3000</v>
      </c>
      <c r="G644">
        <v>49</v>
      </c>
      <c r="H644" t="s">
        <v>13</v>
      </c>
      <c r="I644" t="s">
        <v>14</v>
      </c>
      <c r="J644">
        <v>4</v>
      </c>
      <c r="K644" s="1" t="str">
        <f t="shared" si="30"/>
        <v>45-59</v>
      </c>
      <c r="L644" s="1" t="str">
        <f t="shared" si="31"/>
        <v>Medium</v>
      </c>
      <c r="M644" s="1" t="str">
        <f t="shared" si="32"/>
        <v>Yes</v>
      </c>
    </row>
    <row r="645" spans="1:13" x14ac:dyDescent="0.35">
      <c r="A645">
        <v>654</v>
      </c>
      <c r="B645">
        <v>75</v>
      </c>
      <c r="C645" t="s">
        <v>10</v>
      </c>
      <c r="D645" t="s">
        <v>32</v>
      </c>
      <c r="E645" t="s">
        <v>33</v>
      </c>
      <c r="F645">
        <v>18000</v>
      </c>
      <c r="G645">
        <v>51</v>
      </c>
      <c r="H645" t="s">
        <v>18</v>
      </c>
      <c r="I645" t="s">
        <v>19</v>
      </c>
      <c r="J645">
        <v>2</v>
      </c>
      <c r="K645" s="1" t="str">
        <f t="shared" si="30"/>
        <v>75+</v>
      </c>
      <c r="L645" s="1" t="str">
        <f t="shared" si="31"/>
        <v>High</v>
      </c>
      <c r="M645" s="1" t="str">
        <f t="shared" si="32"/>
        <v>No</v>
      </c>
    </row>
    <row r="646" spans="1:13" x14ac:dyDescent="0.35">
      <c r="A646">
        <v>655</v>
      </c>
      <c r="B646">
        <v>28</v>
      </c>
      <c r="C646" t="s">
        <v>15</v>
      </c>
      <c r="D646" t="s">
        <v>34</v>
      </c>
      <c r="E646" t="s">
        <v>35</v>
      </c>
      <c r="F646">
        <v>100</v>
      </c>
      <c r="G646">
        <v>44</v>
      </c>
      <c r="H646" t="s">
        <v>13</v>
      </c>
      <c r="I646" t="s">
        <v>14</v>
      </c>
      <c r="J646">
        <v>5</v>
      </c>
      <c r="K646" s="1" t="str">
        <f t="shared" si="30"/>
        <v>18-29</v>
      </c>
      <c r="L646" s="1" t="str">
        <f t="shared" si="31"/>
        <v>Low</v>
      </c>
      <c r="M646" s="1" t="str">
        <f t="shared" si="32"/>
        <v>Yes</v>
      </c>
    </row>
    <row r="647" spans="1:13" x14ac:dyDescent="0.35">
      <c r="A647">
        <v>656</v>
      </c>
      <c r="B647">
        <v>52</v>
      </c>
      <c r="C647" t="s">
        <v>10</v>
      </c>
      <c r="D647" t="s">
        <v>36</v>
      </c>
      <c r="E647" t="s">
        <v>37</v>
      </c>
      <c r="F647">
        <v>800</v>
      </c>
      <c r="G647">
        <v>45</v>
      </c>
      <c r="H647" t="s">
        <v>13</v>
      </c>
      <c r="I647" t="s">
        <v>19</v>
      </c>
      <c r="J647">
        <v>4</v>
      </c>
      <c r="K647" s="1" t="str">
        <f t="shared" si="30"/>
        <v>45-59</v>
      </c>
      <c r="L647" s="1" t="str">
        <f t="shared" si="31"/>
        <v>Low</v>
      </c>
      <c r="M647" s="1" t="str">
        <f t="shared" si="32"/>
        <v>Yes</v>
      </c>
    </row>
    <row r="648" spans="1:13" x14ac:dyDescent="0.35">
      <c r="A648">
        <v>657</v>
      </c>
      <c r="B648">
        <v>67</v>
      </c>
      <c r="C648" t="s">
        <v>15</v>
      </c>
      <c r="D648" t="s">
        <v>38</v>
      </c>
      <c r="E648" t="s">
        <v>39</v>
      </c>
      <c r="F648">
        <v>20000</v>
      </c>
      <c r="G648">
        <v>52</v>
      </c>
      <c r="H648" t="s">
        <v>13</v>
      </c>
      <c r="I648" t="s">
        <v>14</v>
      </c>
      <c r="J648">
        <v>3</v>
      </c>
      <c r="K648" s="1" t="str">
        <f t="shared" si="30"/>
        <v>60-74</v>
      </c>
      <c r="L648" s="1" t="str">
        <f t="shared" si="31"/>
        <v>High</v>
      </c>
      <c r="M648" s="1" t="str">
        <f t="shared" si="32"/>
        <v>No</v>
      </c>
    </row>
    <row r="649" spans="1:13" x14ac:dyDescent="0.35">
      <c r="A649">
        <v>658</v>
      </c>
      <c r="B649">
        <v>35</v>
      </c>
      <c r="C649" t="s">
        <v>10</v>
      </c>
      <c r="D649" t="s">
        <v>40</v>
      </c>
      <c r="E649" t="s">
        <v>41</v>
      </c>
      <c r="F649">
        <v>12000</v>
      </c>
      <c r="G649">
        <v>46</v>
      </c>
      <c r="H649" t="s">
        <v>13</v>
      </c>
      <c r="I649" t="s">
        <v>14</v>
      </c>
      <c r="J649">
        <v>4</v>
      </c>
      <c r="K649" s="1" t="str">
        <f t="shared" si="30"/>
        <v>30-44</v>
      </c>
      <c r="L649" s="1" t="str">
        <f t="shared" si="31"/>
        <v>High</v>
      </c>
      <c r="M649" s="1" t="str">
        <f t="shared" si="32"/>
        <v>Yes</v>
      </c>
    </row>
    <row r="650" spans="1:13" x14ac:dyDescent="0.35">
      <c r="A650">
        <v>659</v>
      </c>
      <c r="B650">
        <v>50</v>
      </c>
      <c r="C650" t="s">
        <v>15</v>
      </c>
      <c r="D650" t="s">
        <v>42</v>
      </c>
      <c r="E650" t="s">
        <v>43</v>
      </c>
      <c r="F650">
        <v>6000</v>
      </c>
      <c r="G650">
        <v>47</v>
      </c>
      <c r="H650" t="s">
        <v>13</v>
      </c>
      <c r="I650" t="s">
        <v>14</v>
      </c>
      <c r="J650">
        <v>3</v>
      </c>
      <c r="K650" s="1" t="str">
        <f t="shared" si="30"/>
        <v>45-59</v>
      </c>
      <c r="L650" s="1" t="str">
        <f t="shared" si="31"/>
        <v>Medium</v>
      </c>
      <c r="M650" s="1" t="str">
        <f t="shared" si="32"/>
        <v>No</v>
      </c>
    </row>
    <row r="651" spans="1:13" x14ac:dyDescent="0.35">
      <c r="A651">
        <v>660</v>
      </c>
      <c r="B651">
        <v>60</v>
      </c>
      <c r="C651" t="s">
        <v>10</v>
      </c>
      <c r="D651" t="s">
        <v>44</v>
      </c>
      <c r="E651" t="s">
        <v>45</v>
      </c>
      <c r="F651">
        <v>4000</v>
      </c>
      <c r="G651">
        <v>48</v>
      </c>
      <c r="H651" t="s">
        <v>13</v>
      </c>
      <c r="I651" t="s">
        <v>19</v>
      </c>
      <c r="J651">
        <v>4</v>
      </c>
      <c r="K651" s="1" t="str">
        <f t="shared" si="30"/>
        <v>60-74</v>
      </c>
      <c r="L651" s="1" t="str">
        <f t="shared" si="31"/>
        <v>Medium</v>
      </c>
      <c r="M651" s="1" t="str">
        <f t="shared" si="32"/>
        <v>Yes</v>
      </c>
    </row>
    <row r="652" spans="1:13" x14ac:dyDescent="0.35">
      <c r="A652">
        <v>662</v>
      </c>
      <c r="B652">
        <v>65</v>
      </c>
      <c r="C652" t="s">
        <v>15</v>
      </c>
      <c r="D652" t="s">
        <v>16</v>
      </c>
      <c r="E652" t="s">
        <v>17</v>
      </c>
      <c r="F652">
        <v>2000</v>
      </c>
      <c r="G652">
        <v>47</v>
      </c>
      <c r="H652" t="s">
        <v>13</v>
      </c>
      <c r="I652" t="s">
        <v>19</v>
      </c>
      <c r="J652">
        <v>3</v>
      </c>
      <c r="K652" s="1" t="str">
        <f t="shared" si="30"/>
        <v>60-74</v>
      </c>
      <c r="L652" s="1" t="str">
        <f t="shared" si="31"/>
        <v>Medium</v>
      </c>
      <c r="M652" s="1" t="str">
        <f t="shared" si="32"/>
        <v>No</v>
      </c>
    </row>
    <row r="653" spans="1:13" x14ac:dyDescent="0.35">
      <c r="A653">
        <v>663</v>
      </c>
      <c r="B653">
        <v>30</v>
      </c>
      <c r="C653" t="s">
        <v>10</v>
      </c>
      <c r="D653" t="s">
        <v>20</v>
      </c>
      <c r="E653" t="s">
        <v>21</v>
      </c>
      <c r="F653">
        <v>500</v>
      </c>
      <c r="G653">
        <v>45</v>
      </c>
      <c r="H653" t="s">
        <v>13</v>
      </c>
      <c r="I653" t="s">
        <v>14</v>
      </c>
      <c r="J653">
        <v>5</v>
      </c>
      <c r="K653" s="1" t="str">
        <f t="shared" si="30"/>
        <v>30-44</v>
      </c>
      <c r="L653" s="1" t="str">
        <f t="shared" si="31"/>
        <v>Low</v>
      </c>
      <c r="M653" s="1" t="str">
        <f t="shared" si="32"/>
        <v>Yes</v>
      </c>
    </row>
    <row r="654" spans="1:13" x14ac:dyDescent="0.35">
      <c r="A654">
        <v>664</v>
      </c>
      <c r="B654">
        <v>70</v>
      </c>
      <c r="C654" t="s">
        <v>15</v>
      </c>
      <c r="D654" t="s">
        <v>22</v>
      </c>
      <c r="E654" t="s">
        <v>23</v>
      </c>
      <c r="F654">
        <v>10000</v>
      </c>
      <c r="G654">
        <v>52</v>
      </c>
      <c r="H654" t="s">
        <v>18</v>
      </c>
      <c r="I654" t="s">
        <v>19</v>
      </c>
      <c r="J654">
        <v>2</v>
      </c>
      <c r="K654" s="1" t="str">
        <f t="shared" si="30"/>
        <v>60-74</v>
      </c>
      <c r="L654" s="1" t="str">
        <f t="shared" si="31"/>
        <v>High</v>
      </c>
      <c r="M654" s="1" t="str">
        <f t="shared" si="32"/>
        <v>No</v>
      </c>
    </row>
    <row r="655" spans="1:13" x14ac:dyDescent="0.35">
      <c r="A655">
        <v>665</v>
      </c>
      <c r="B655">
        <v>55</v>
      </c>
      <c r="C655" t="s">
        <v>10</v>
      </c>
      <c r="D655" t="s">
        <v>24</v>
      </c>
      <c r="E655" t="s">
        <v>25</v>
      </c>
      <c r="F655">
        <v>25000</v>
      </c>
      <c r="G655">
        <v>54</v>
      </c>
      <c r="H655" t="s">
        <v>13</v>
      </c>
      <c r="I655" t="s">
        <v>14</v>
      </c>
      <c r="J655">
        <v>4</v>
      </c>
      <c r="K655" s="1" t="str">
        <f t="shared" si="30"/>
        <v>45-59</v>
      </c>
      <c r="L655" s="1" t="str">
        <f t="shared" si="31"/>
        <v>High</v>
      </c>
      <c r="M655" s="1" t="str">
        <f t="shared" si="32"/>
        <v>Yes</v>
      </c>
    </row>
    <row r="656" spans="1:13" x14ac:dyDescent="0.35">
      <c r="A656">
        <v>666</v>
      </c>
      <c r="B656">
        <v>68</v>
      </c>
      <c r="C656" t="s">
        <v>15</v>
      </c>
      <c r="D656" t="s">
        <v>26</v>
      </c>
      <c r="E656" t="s">
        <v>27</v>
      </c>
      <c r="F656">
        <v>1000</v>
      </c>
      <c r="G656">
        <v>48</v>
      </c>
      <c r="H656" t="s">
        <v>13</v>
      </c>
      <c r="I656" t="s">
        <v>19</v>
      </c>
      <c r="J656">
        <v>4</v>
      </c>
      <c r="K656" s="1" t="str">
        <f t="shared" si="30"/>
        <v>60-74</v>
      </c>
      <c r="L656" s="1" t="str">
        <f t="shared" si="31"/>
        <v>Low</v>
      </c>
      <c r="M656" s="1" t="str">
        <f t="shared" si="32"/>
        <v>Yes</v>
      </c>
    </row>
    <row r="657" spans="1:13" x14ac:dyDescent="0.35">
      <c r="A657">
        <v>667</v>
      </c>
      <c r="B657">
        <v>45</v>
      </c>
      <c r="C657" t="s">
        <v>10</v>
      </c>
      <c r="D657" t="s">
        <v>28</v>
      </c>
      <c r="E657" t="s">
        <v>29</v>
      </c>
      <c r="F657">
        <v>8000</v>
      </c>
      <c r="G657">
        <v>50</v>
      </c>
      <c r="H657" t="s">
        <v>13</v>
      </c>
      <c r="I657" t="s">
        <v>14</v>
      </c>
      <c r="J657">
        <v>3</v>
      </c>
      <c r="K657" s="1" t="str">
        <f t="shared" si="30"/>
        <v>45-59</v>
      </c>
      <c r="L657" s="1" t="str">
        <f t="shared" si="31"/>
        <v>Medium</v>
      </c>
      <c r="M657" s="1" t="str">
        <f t="shared" si="32"/>
        <v>No</v>
      </c>
    </row>
    <row r="658" spans="1:13" x14ac:dyDescent="0.35">
      <c r="A658">
        <v>668</v>
      </c>
      <c r="B658">
        <v>40</v>
      </c>
      <c r="C658" t="s">
        <v>15</v>
      </c>
      <c r="D658" t="s">
        <v>30</v>
      </c>
      <c r="E658" t="s">
        <v>31</v>
      </c>
      <c r="F658">
        <v>3000</v>
      </c>
      <c r="G658">
        <v>50</v>
      </c>
      <c r="H658" t="s">
        <v>13</v>
      </c>
      <c r="I658" t="s">
        <v>14</v>
      </c>
      <c r="J658">
        <v>4</v>
      </c>
      <c r="K658" s="1" t="str">
        <f t="shared" si="30"/>
        <v>30-44</v>
      </c>
      <c r="L658" s="1" t="str">
        <f t="shared" si="31"/>
        <v>Medium</v>
      </c>
      <c r="M658" s="1" t="str">
        <f t="shared" si="32"/>
        <v>Yes</v>
      </c>
    </row>
    <row r="659" spans="1:13" x14ac:dyDescent="0.35">
      <c r="A659">
        <v>669</v>
      </c>
      <c r="B659">
        <v>78</v>
      </c>
      <c r="C659" t="s">
        <v>10</v>
      </c>
      <c r="D659" t="s">
        <v>32</v>
      </c>
      <c r="E659" t="s">
        <v>33</v>
      </c>
      <c r="F659">
        <v>18000</v>
      </c>
      <c r="G659">
        <v>52</v>
      </c>
      <c r="H659" t="s">
        <v>18</v>
      </c>
      <c r="I659" t="s">
        <v>19</v>
      </c>
      <c r="J659">
        <v>2</v>
      </c>
      <c r="K659" s="1" t="str">
        <f t="shared" si="30"/>
        <v>75+</v>
      </c>
      <c r="L659" s="1" t="str">
        <f t="shared" si="31"/>
        <v>High</v>
      </c>
      <c r="M659" s="1" t="str">
        <f t="shared" si="32"/>
        <v>No</v>
      </c>
    </row>
    <row r="660" spans="1:13" x14ac:dyDescent="0.35">
      <c r="A660">
        <v>670</v>
      </c>
      <c r="B660">
        <v>25</v>
      </c>
      <c r="C660" t="s">
        <v>15</v>
      </c>
      <c r="D660" t="s">
        <v>34</v>
      </c>
      <c r="E660" t="s">
        <v>35</v>
      </c>
      <c r="F660">
        <v>100</v>
      </c>
      <c r="G660">
        <v>45</v>
      </c>
      <c r="H660" t="s">
        <v>13</v>
      </c>
      <c r="I660" t="s">
        <v>14</v>
      </c>
      <c r="J660">
        <v>5</v>
      </c>
      <c r="K660" s="1" t="str">
        <f t="shared" si="30"/>
        <v>18-29</v>
      </c>
      <c r="L660" s="1" t="str">
        <f t="shared" si="31"/>
        <v>Low</v>
      </c>
      <c r="M660" s="1" t="str">
        <f t="shared" si="32"/>
        <v>Yes</v>
      </c>
    </row>
    <row r="661" spans="1:13" x14ac:dyDescent="0.35">
      <c r="A661">
        <v>671</v>
      </c>
      <c r="B661">
        <v>52</v>
      </c>
      <c r="C661" t="s">
        <v>10</v>
      </c>
      <c r="D661" t="s">
        <v>36</v>
      </c>
      <c r="E661" t="s">
        <v>37</v>
      </c>
      <c r="F661">
        <v>800</v>
      </c>
      <c r="G661">
        <v>46</v>
      </c>
      <c r="H661" t="s">
        <v>13</v>
      </c>
      <c r="I661" t="s">
        <v>19</v>
      </c>
      <c r="J661">
        <v>4</v>
      </c>
      <c r="K661" s="1" t="str">
        <f t="shared" si="30"/>
        <v>45-59</v>
      </c>
      <c r="L661" s="1" t="str">
        <f t="shared" si="31"/>
        <v>Low</v>
      </c>
      <c r="M661" s="1" t="str">
        <f t="shared" si="32"/>
        <v>Yes</v>
      </c>
    </row>
    <row r="662" spans="1:13" x14ac:dyDescent="0.35">
      <c r="A662">
        <v>672</v>
      </c>
      <c r="B662">
        <v>58</v>
      </c>
      <c r="C662" t="s">
        <v>15</v>
      </c>
      <c r="D662" t="s">
        <v>38</v>
      </c>
      <c r="E662" t="s">
        <v>39</v>
      </c>
      <c r="F662">
        <v>20000</v>
      </c>
      <c r="G662">
        <v>53</v>
      </c>
      <c r="H662" t="s">
        <v>13</v>
      </c>
      <c r="I662" t="s">
        <v>14</v>
      </c>
      <c r="J662">
        <v>3</v>
      </c>
      <c r="K662" s="1" t="str">
        <f t="shared" si="30"/>
        <v>45-59</v>
      </c>
      <c r="L662" s="1" t="str">
        <f t="shared" si="31"/>
        <v>High</v>
      </c>
      <c r="M662" s="1" t="str">
        <f t="shared" si="32"/>
        <v>No</v>
      </c>
    </row>
    <row r="663" spans="1:13" x14ac:dyDescent="0.35">
      <c r="A663">
        <v>673</v>
      </c>
      <c r="B663">
        <v>32</v>
      </c>
      <c r="C663" t="s">
        <v>10</v>
      </c>
      <c r="D663" t="s">
        <v>40</v>
      </c>
      <c r="E663" t="s">
        <v>41</v>
      </c>
      <c r="F663">
        <v>12000</v>
      </c>
      <c r="G663">
        <v>47</v>
      </c>
      <c r="H663" t="s">
        <v>13</v>
      </c>
      <c r="I663" t="s">
        <v>14</v>
      </c>
      <c r="J663">
        <v>4</v>
      </c>
      <c r="K663" s="1" t="str">
        <f t="shared" si="30"/>
        <v>30-44</v>
      </c>
      <c r="L663" s="1" t="str">
        <f t="shared" si="31"/>
        <v>High</v>
      </c>
      <c r="M663" s="1" t="str">
        <f t="shared" si="32"/>
        <v>Yes</v>
      </c>
    </row>
    <row r="664" spans="1:13" x14ac:dyDescent="0.35">
      <c r="A664">
        <v>674</v>
      </c>
      <c r="B664">
        <v>55</v>
      </c>
      <c r="C664" t="s">
        <v>15</v>
      </c>
      <c r="D664" t="s">
        <v>42</v>
      </c>
      <c r="E664" t="s">
        <v>43</v>
      </c>
      <c r="F664">
        <v>6000</v>
      </c>
      <c r="G664">
        <v>48</v>
      </c>
      <c r="H664" t="s">
        <v>13</v>
      </c>
      <c r="I664" t="s">
        <v>14</v>
      </c>
      <c r="J664">
        <v>3</v>
      </c>
      <c r="K664" s="1" t="str">
        <f t="shared" si="30"/>
        <v>45-59</v>
      </c>
      <c r="L664" s="1" t="str">
        <f t="shared" si="31"/>
        <v>Medium</v>
      </c>
      <c r="M664" s="1" t="str">
        <f t="shared" si="32"/>
        <v>No</v>
      </c>
    </row>
    <row r="665" spans="1:13" x14ac:dyDescent="0.35">
      <c r="A665">
        <v>675</v>
      </c>
      <c r="B665">
        <v>65</v>
      </c>
      <c r="C665" t="s">
        <v>10</v>
      </c>
      <c r="D665" t="s">
        <v>44</v>
      </c>
      <c r="E665" t="s">
        <v>45</v>
      </c>
      <c r="F665">
        <v>4000</v>
      </c>
      <c r="G665">
        <v>49</v>
      </c>
      <c r="H665" t="s">
        <v>13</v>
      </c>
      <c r="I665" t="s">
        <v>19</v>
      </c>
      <c r="J665">
        <v>4</v>
      </c>
      <c r="K665" s="1" t="str">
        <f t="shared" si="30"/>
        <v>60-74</v>
      </c>
      <c r="L665" s="1" t="str">
        <f t="shared" si="31"/>
        <v>Medium</v>
      </c>
      <c r="M665" s="1" t="str">
        <f t="shared" si="32"/>
        <v>Yes</v>
      </c>
    </row>
    <row r="666" spans="1:13" x14ac:dyDescent="0.35">
      <c r="A666">
        <v>676</v>
      </c>
      <c r="B666">
        <v>55</v>
      </c>
      <c r="C666" t="s">
        <v>10</v>
      </c>
      <c r="D666" t="s">
        <v>11</v>
      </c>
      <c r="E666" t="s">
        <v>12</v>
      </c>
      <c r="F666">
        <v>15000</v>
      </c>
      <c r="G666">
        <v>50</v>
      </c>
      <c r="H666" t="s">
        <v>18</v>
      </c>
      <c r="I666" t="s">
        <v>14</v>
      </c>
      <c r="J666">
        <v>3</v>
      </c>
      <c r="K666" s="1" t="str">
        <f t="shared" si="30"/>
        <v>45-59</v>
      </c>
      <c r="L666" s="1" t="str">
        <f t="shared" si="31"/>
        <v>High</v>
      </c>
      <c r="M666" s="1" t="str">
        <f t="shared" si="32"/>
        <v>No</v>
      </c>
    </row>
    <row r="667" spans="1:13" x14ac:dyDescent="0.35">
      <c r="A667">
        <v>677</v>
      </c>
      <c r="B667">
        <v>62</v>
      </c>
      <c r="C667" t="s">
        <v>15</v>
      </c>
      <c r="D667" t="s">
        <v>16</v>
      </c>
      <c r="E667" t="s">
        <v>17</v>
      </c>
      <c r="F667">
        <v>2000</v>
      </c>
      <c r="G667">
        <v>48</v>
      </c>
      <c r="H667" t="s">
        <v>13</v>
      </c>
      <c r="I667" t="s">
        <v>19</v>
      </c>
      <c r="J667">
        <v>4</v>
      </c>
      <c r="K667" s="1" t="str">
        <f t="shared" si="30"/>
        <v>60-74</v>
      </c>
      <c r="L667" s="1" t="str">
        <f t="shared" si="31"/>
        <v>Medium</v>
      </c>
      <c r="M667" s="1" t="str">
        <f t="shared" si="32"/>
        <v>Yes</v>
      </c>
    </row>
    <row r="668" spans="1:13" x14ac:dyDescent="0.35">
      <c r="A668">
        <v>678</v>
      </c>
      <c r="B668">
        <v>35</v>
      </c>
      <c r="C668" t="s">
        <v>10</v>
      </c>
      <c r="D668" t="s">
        <v>20</v>
      </c>
      <c r="E668" t="s">
        <v>21</v>
      </c>
      <c r="F668">
        <v>500</v>
      </c>
      <c r="G668">
        <v>46</v>
      </c>
      <c r="H668" t="s">
        <v>18</v>
      </c>
      <c r="I668" t="s">
        <v>14</v>
      </c>
      <c r="J668">
        <v>5</v>
      </c>
      <c r="K668" s="1" t="str">
        <f t="shared" si="30"/>
        <v>30-44</v>
      </c>
      <c r="L668" s="1" t="str">
        <f t="shared" si="31"/>
        <v>Low</v>
      </c>
      <c r="M668" s="1" t="str">
        <f t="shared" si="32"/>
        <v>Yes</v>
      </c>
    </row>
    <row r="669" spans="1:13" x14ac:dyDescent="0.35">
      <c r="A669">
        <v>679</v>
      </c>
      <c r="B669">
        <v>78</v>
      </c>
      <c r="C669" t="s">
        <v>15</v>
      </c>
      <c r="D669" t="s">
        <v>22</v>
      </c>
      <c r="E669" t="s">
        <v>23</v>
      </c>
      <c r="F669">
        <v>10000</v>
      </c>
      <c r="G669">
        <v>53</v>
      </c>
      <c r="H669" t="s">
        <v>13</v>
      </c>
      <c r="I669" t="s">
        <v>19</v>
      </c>
      <c r="J669">
        <v>2</v>
      </c>
      <c r="K669" s="1" t="str">
        <f t="shared" si="30"/>
        <v>75+</v>
      </c>
      <c r="L669" s="1" t="str">
        <f t="shared" si="31"/>
        <v>High</v>
      </c>
      <c r="M669" s="1" t="str">
        <f t="shared" si="32"/>
        <v>No</v>
      </c>
    </row>
    <row r="670" spans="1:13" x14ac:dyDescent="0.35">
      <c r="A670">
        <v>680</v>
      </c>
      <c r="B670">
        <v>53</v>
      </c>
      <c r="C670" t="s">
        <v>10</v>
      </c>
      <c r="D670" t="s">
        <v>24</v>
      </c>
      <c r="E670" t="s">
        <v>25</v>
      </c>
      <c r="F670">
        <v>25000</v>
      </c>
      <c r="G670">
        <v>55</v>
      </c>
      <c r="H670" t="s">
        <v>18</v>
      </c>
      <c r="I670" t="s">
        <v>14</v>
      </c>
      <c r="J670">
        <v>4</v>
      </c>
      <c r="K670" s="1" t="str">
        <f t="shared" si="30"/>
        <v>45-59</v>
      </c>
      <c r="L670" s="1" t="str">
        <f t="shared" si="31"/>
        <v>High</v>
      </c>
      <c r="M670" s="1" t="str">
        <f t="shared" si="32"/>
        <v>Yes</v>
      </c>
    </row>
    <row r="671" spans="1:13" x14ac:dyDescent="0.35">
      <c r="A671">
        <v>681</v>
      </c>
      <c r="B671">
        <v>72</v>
      </c>
      <c r="C671" t="s">
        <v>15</v>
      </c>
      <c r="D671" t="s">
        <v>26</v>
      </c>
      <c r="E671" t="s">
        <v>27</v>
      </c>
      <c r="F671">
        <v>1000</v>
      </c>
      <c r="G671">
        <v>49</v>
      </c>
      <c r="H671" t="s">
        <v>13</v>
      </c>
      <c r="I671" t="s">
        <v>19</v>
      </c>
      <c r="J671">
        <v>4</v>
      </c>
      <c r="K671" s="1" t="str">
        <f t="shared" si="30"/>
        <v>60-74</v>
      </c>
      <c r="L671" s="1" t="str">
        <f t="shared" si="31"/>
        <v>Low</v>
      </c>
      <c r="M671" s="1" t="str">
        <f t="shared" si="32"/>
        <v>Yes</v>
      </c>
    </row>
    <row r="672" spans="1:13" x14ac:dyDescent="0.35">
      <c r="A672">
        <v>682</v>
      </c>
      <c r="B672">
        <v>60</v>
      </c>
      <c r="C672" t="s">
        <v>10</v>
      </c>
      <c r="D672" t="s">
        <v>28</v>
      </c>
      <c r="E672" t="s">
        <v>29</v>
      </c>
      <c r="F672">
        <v>8000</v>
      </c>
      <c r="G672">
        <v>51</v>
      </c>
      <c r="H672" t="s">
        <v>18</v>
      </c>
      <c r="I672" t="s">
        <v>14</v>
      </c>
      <c r="J672">
        <v>3</v>
      </c>
      <c r="K672" s="1" t="str">
        <f t="shared" si="30"/>
        <v>60-74</v>
      </c>
      <c r="L672" s="1" t="str">
        <f t="shared" si="31"/>
        <v>Medium</v>
      </c>
      <c r="M672" s="1" t="str">
        <f t="shared" si="32"/>
        <v>No</v>
      </c>
    </row>
    <row r="673" spans="1:13" x14ac:dyDescent="0.35">
      <c r="A673">
        <v>683</v>
      </c>
      <c r="B673">
        <v>45</v>
      </c>
      <c r="C673" t="s">
        <v>15</v>
      </c>
      <c r="D673" t="s">
        <v>30</v>
      </c>
      <c r="E673" t="s">
        <v>31</v>
      </c>
      <c r="F673">
        <v>3000</v>
      </c>
      <c r="G673">
        <v>51</v>
      </c>
      <c r="H673" t="s">
        <v>13</v>
      </c>
      <c r="I673" t="s">
        <v>14</v>
      </c>
      <c r="J673">
        <v>4</v>
      </c>
      <c r="K673" s="1" t="str">
        <f t="shared" si="30"/>
        <v>45-59</v>
      </c>
      <c r="L673" s="1" t="str">
        <f t="shared" si="31"/>
        <v>Medium</v>
      </c>
      <c r="M673" s="1" t="str">
        <f t="shared" si="32"/>
        <v>Yes</v>
      </c>
    </row>
    <row r="674" spans="1:13" x14ac:dyDescent="0.35">
      <c r="A674">
        <v>684</v>
      </c>
      <c r="B674">
        <v>75</v>
      </c>
      <c r="C674" t="s">
        <v>10</v>
      </c>
      <c r="D674" t="s">
        <v>32</v>
      </c>
      <c r="E674" t="s">
        <v>33</v>
      </c>
      <c r="F674">
        <v>18000</v>
      </c>
      <c r="G674">
        <v>53</v>
      </c>
      <c r="H674" t="s">
        <v>18</v>
      </c>
      <c r="I674" t="s">
        <v>19</v>
      </c>
      <c r="J674">
        <v>2</v>
      </c>
      <c r="K674" s="1" t="str">
        <f t="shared" si="30"/>
        <v>75+</v>
      </c>
      <c r="L674" s="1" t="str">
        <f t="shared" si="31"/>
        <v>High</v>
      </c>
      <c r="M674" s="1" t="str">
        <f t="shared" si="32"/>
        <v>No</v>
      </c>
    </row>
    <row r="675" spans="1:13" x14ac:dyDescent="0.35">
      <c r="A675">
        <v>685</v>
      </c>
      <c r="B675">
        <v>28</v>
      </c>
      <c r="C675" t="s">
        <v>15</v>
      </c>
      <c r="D675" t="s">
        <v>34</v>
      </c>
      <c r="E675" t="s">
        <v>35</v>
      </c>
      <c r="F675">
        <v>100</v>
      </c>
      <c r="G675">
        <v>46</v>
      </c>
      <c r="H675" t="s">
        <v>13</v>
      </c>
      <c r="I675" t="s">
        <v>14</v>
      </c>
      <c r="J675">
        <v>5</v>
      </c>
      <c r="K675" s="1" t="str">
        <f t="shared" si="30"/>
        <v>18-29</v>
      </c>
      <c r="L675" s="1" t="str">
        <f t="shared" si="31"/>
        <v>Low</v>
      </c>
      <c r="M675" s="1" t="str">
        <f t="shared" si="32"/>
        <v>Yes</v>
      </c>
    </row>
    <row r="676" spans="1:13" x14ac:dyDescent="0.35">
      <c r="A676">
        <v>686</v>
      </c>
      <c r="B676">
        <v>52</v>
      </c>
      <c r="C676" t="s">
        <v>10</v>
      </c>
      <c r="D676" t="s">
        <v>36</v>
      </c>
      <c r="E676" t="s">
        <v>37</v>
      </c>
      <c r="F676">
        <v>800</v>
      </c>
      <c r="G676">
        <v>47</v>
      </c>
      <c r="H676" t="s">
        <v>13</v>
      </c>
      <c r="I676" t="s">
        <v>19</v>
      </c>
      <c r="J676">
        <v>4</v>
      </c>
      <c r="K676" s="1" t="str">
        <f t="shared" si="30"/>
        <v>45-59</v>
      </c>
      <c r="L676" s="1" t="str">
        <f t="shared" si="31"/>
        <v>Low</v>
      </c>
      <c r="M676" s="1" t="str">
        <f t="shared" si="32"/>
        <v>Yes</v>
      </c>
    </row>
    <row r="677" spans="1:13" x14ac:dyDescent="0.35">
      <c r="A677">
        <v>687</v>
      </c>
      <c r="B677">
        <v>67</v>
      </c>
      <c r="C677" t="s">
        <v>15</v>
      </c>
      <c r="D677" t="s">
        <v>38</v>
      </c>
      <c r="E677" t="s">
        <v>39</v>
      </c>
      <c r="F677">
        <v>20000</v>
      </c>
      <c r="G677">
        <v>54</v>
      </c>
      <c r="H677" t="s">
        <v>13</v>
      </c>
      <c r="I677" t="s">
        <v>14</v>
      </c>
      <c r="J677">
        <v>3</v>
      </c>
      <c r="K677" s="1" t="str">
        <f t="shared" si="30"/>
        <v>60-74</v>
      </c>
      <c r="L677" s="1" t="str">
        <f t="shared" si="31"/>
        <v>High</v>
      </c>
      <c r="M677" s="1" t="str">
        <f t="shared" si="32"/>
        <v>No</v>
      </c>
    </row>
    <row r="678" spans="1:13" x14ac:dyDescent="0.35">
      <c r="A678">
        <v>688</v>
      </c>
      <c r="B678">
        <v>35</v>
      </c>
      <c r="C678" t="s">
        <v>10</v>
      </c>
      <c r="D678" t="s">
        <v>40</v>
      </c>
      <c r="E678" t="s">
        <v>41</v>
      </c>
      <c r="F678">
        <v>12000</v>
      </c>
      <c r="G678">
        <v>48</v>
      </c>
      <c r="H678" t="s">
        <v>13</v>
      </c>
      <c r="I678" t="s">
        <v>14</v>
      </c>
      <c r="J678">
        <v>4</v>
      </c>
      <c r="K678" s="1" t="str">
        <f t="shared" si="30"/>
        <v>30-44</v>
      </c>
      <c r="L678" s="1" t="str">
        <f t="shared" si="31"/>
        <v>High</v>
      </c>
      <c r="M678" s="1" t="str">
        <f t="shared" si="32"/>
        <v>Yes</v>
      </c>
    </row>
    <row r="679" spans="1:13" x14ac:dyDescent="0.35">
      <c r="A679">
        <v>689</v>
      </c>
      <c r="B679">
        <v>50</v>
      </c>
      <c r="C679" t="s">
        <v>15</v>
      </c>
      <c r="D679" t="s">
        <v>42</v>
      </c>
      <c r="E679" t="s">
        <v>43</v>
      </c>
      <c r="F679">
        <v>6000</v>
      </c>
      <c r="G679">
        <v>49</v>
      </c>
      <c r="H679" t="s">
        <v>13</v>
      </c>
      <c r="I679" t="s">
        <v>14</v>
      </c>
      <c r="J679">
        <v>3</v>
      </c>
      <c r="K679" s="1" t="str">
        <f t="shared" si="30"/>
        <v>45-59</v>
      </c>
      <c r="L679" s="1" t="str">
        <f t="shared" si="31"/>
        <v>Medium</v>
      </c>
      <c r="M679" s="1" t="str">
        <f t="shared" si="32"/>
        <v>No</v>
      </c>
    </row>
    <row r="680" spans="1:13" x14ac:dyDescent="0.35">
      <c r="A680">
        <v>690</v>
      </c>
      <c r="B680">
        <v>60</v>
      </c>
      <c r="C680" t="s">
        <v>10</v>
      </c>
      <c r="D680" t="s">
        <v>44</v>
      </c>
      <c r="E680" t="s">
        <v>45</v>
      </c>
      <c r="F680">
        <v>4000</v>
      </c>
      <c r="G680">
        <v>50</v>
      </c>
      <c r="H680" t="s">
        <v>13</v>
      </c>
      <c r="I680" t="s">
        <v>19</v>
      </c>
      <c r="J680">
        <v>4</v>
      </c>
      <c r="K680" s="1" t="str">
        <f t="shared" si="30"/>
        <v>60-74</v>
      </c>
      <c r="L680" s="1" t="str">
        <f t="shared" si="31"/>
        <v>Medium</v>
      </c>
      <c r="M680" s="1" t="str">
        <f t="shared" si="32"/>
        <v>Yes</v>
      </c>
    </row>
    <row r="681" spans="1:13" x14ac:dyDescent="0.35">
      <c r="A681">
        <v>691</v>
      </c>
      <c r="B681">
        <v>48</v>
      </c>
      <c r="C681" t="s">
        <v>10</v>
      </c>
      <c r="D681" t="s">
        <v>11</v>
      </c>
      <c r="E681" t="s">
        <v>12</v>
      </c>
      <c r="F681">
        <v>15000</v>
      </c>
      <c r="G681">
        <v>51</v>
      </c>
      <c r="H681" t="s">
        <v>18</v>
      </c>
      <c r="I681" t="s">
        <v>14</v>
      </c>
      <c r="J681">
        <v>4</v>
      </c>
      <c r="K681" s="1" t="str">
        <f t="shared" si="30"/>
        <v>45-59</v>
      </c>
      <c r="L681" s="1" t="str">
        <f t="shared" si="31"/>
        <v>High</v>
      </c>
      <c r="M681" s="1" t="str">
        <f t="shared" si="32"/>
        <v>Yes</v>
      </c>
    </row>
    <row r="682" spans="1:13" x14ac:dyDescent="0.35">
      <c r="A682">
        <v>692</v>
      </c>
      <c r="B682">
        <v>65</v>
      </c>
      <c r="C682" t="s">
        <v>15</v>
      </c>
      <c r="D682" t="s">
        <v>16</v>
      </c>
      <c r="E682" t="s">
        <v>17</v>
      </c>
      <c r="F682">
        <v>2000</v>
      </c>
      <c r="G682">
        <v>49</v>
      </c>
      <c r="H682" t="s">
        <v>13</v>
      </c>
      <c r="I682" t="s">
        <v>19</v>
      </c>
      <c r="J682">
        <v>3</v>
      </c>
      <c r="K682" s="1" t="str">
        <f t="shared" si="30"/>
        <v>60-74</v>
      </c>
      <c r="L682" s="1" t="str">
        <f t="shared" si="31"/>
        <v>Medium</v>
      </c>
      <c r="M682" s="1" t="str">
        <f t="shared" si="32"/>
        <v>No</v>
      </c>
    </row>
    <row r="683" spans="1:13" x14ac:dyDescent="0.35">
      <c r="A683">
        <v>693</v>
      </c>
      <c r="B683">
        <v>30</v>
      </c>
      <c r="C683" t="s">
        <v>10</v>
      </c>
      <c r="D683" t="s">
        <v>20</v>
      </c>
      <c r="E683" t="s">
        <v>21</v>
      </c>
      <c r="F683">
        <v>500</v>
      </c>
      <c r="G683">
        <v>47</v>
      </c>
      <c r="H683" t="s">
        <v>13</v>
      </c>
      <c r="I683" t="s">
        <v>14</v>
      </c>
      <c r="J683">
        <v>5</v>
      </c>
      <c r="K683" s="1" t="str">
        <f t="shared" si="30"/>
        <v>30-44</v>
      </c>
      <c r="L683" s="1" t="str">
        <f t="shared" si="31"/>
        <v>Low</v>
      </c>
      <c r="M683" s="1" t="str">
        <f t="shared" si="32"/>
        <v>Yes</v>
      </c>
    </row>
    <row r="684" spans="1:13" x14ac:dyDescent="0.35">
      <c r="A684">
        <v>694</v>
      </c>
      <c r="B684">
        <v>70</v>
      </c>
      <c r="C684" t="s">
        <v>15</v>
      </c>
      <c r="D684" t="s">
        <v>22</v>
      </c>
      <c r="E684" t="s">
        <v>23</v>
      </c>
      <c r="F684">
        <v>10000</v>
      </c>
      <c r="G684">
        <v>54</v>
      </c>
      <c r="H684" t="s">
        <v>18</v>
      </c>
      <c r="I684" t="s">
        <v>19</v>
      </c>
      <c r="J684">
        <v>2</v>
      </c>
      <c r="K684" s="1" t="str">
        <f t="shared" si="30"/>
        <v>60-74</v>
      </c>
      <c r="L684" s="1" t="str">
        <f t="shared" si="31"/>
        <v>High</v>
      </c>
      <c r="M684" s="1" t="str">
        <f t="shared" si="32"/>
        <v>No</v>
      </c>
    </row>
    <row r="685" spans="1:13" x14ac:dyDescent="0.35">
      <c r="A685">
        <v>695</v>
      </c>
      <c r="B685">
        <v>55</v>
      </c>
      <c r="C685" t="s">
        <v>10</v>
      </c>
      <c r="D685" t="s">
        <v>24</v>
      </c>
      <c r="E685" t="s">
        <v>25</v>
      </c>
      <c r="F685">
        <v>25000</v>
      </c>
      <c r="G685">
        <v>56</v>
      </c>
      <c r="H685" t="s">
        <v>13</v>
      </c>
      <c r="I685" t="s">
        <v>14</v>
      </c>
      <c r="J685">
        <v>4</v>
      </c>
      <c r="K685" s="1" t="str">
        <f t="shared" si="30"/>
        <v>45-59</v>
      </c>
      <c r="L685" s="1" t="str">
        <f t="shared" si="31"/>
        <v>High</v>
      </c>
      <c r="M685" s="1" t="str">
        <f t="shared" si="32"/>
        <v>Yes</v>
      </c>
    </row>
    <row r="686" spans="1:13" x14ac:dyDescent="0.35">
      <c r="A686">
        <v>696</v>
      </c>
      <c r="B686">
        <v>68</v>
      </c>
      <c r="C686" t="s">
        <v>15</v>
      </c>
      <c r="D686" t="s">
        <v>26</v>
      </c>
      <c r="E686" t="s">
        <v>27</v>
      </c>
      <c r="F686">
        <v>1000</v>
      </c>
      <c r="G686">
        <v>50</v>
      </c>
      <c r="H686" t="s">
        <v>13</v>
      </c>
      <c r="I686" t="s">
        <v>19</v>
      </c>
      <c r="J686">
        <v>4</v>
      </c>
      <c r="K686" s="1" t="str">
        <f t="shared" si="30"/>
        <v>60-74</v>
      </c>
      <c r="L686" s="1" t="str">
        <f t="shared" si="31"/>
        <v>Low</v>
      </c>
      <c r="M686" s="1" t="str">
        <f t="shared" si="32"/>
        <v>Yes</v>
      </c>
    </row>
    <row r="687" spans="1:13" x14ac:dyDescent="0.35">
      <c r="A687">
        <v>697</v>
      </c>
      <c r="B687">
        <v>45</v>
      </c>
      <c r="C687" t="s">
        <v>10</v>
      </c>
      <c r="D687" t="s">
        <v>28</v>
      </c>
      <c r="E687" t="s">
        <v>29</v>
      </c>
      <c r="F687">
        <v>8000</v>
      </c>
      <c r="G687">
        <v>52</v>
      </c>
      <c r="H687" t="s">
        <v>13</v>
      </c>
      <c r="I687" t="s">
        <v>14</v>
      </c>
      <c r="J687">
        <v>3</v>
      </c>
      <c r="K687" s="1" t="str">
        <f t="shared" si="30"/>
        <v>45-59</v>
      </c>
      <c r="L687" s="1" t="str">
        <f t="shared" si="31"/>
        <v>Medium</v>
      </c>
      <c r="M687" s="1" t="str">
        <f t="shared" si="32"/>
        <v>No</v>
      </c>
    </row>
    <row r="688" spans="1:13" x14ac:dyDescent="0.35">
      <c r="A688">
        <v>698</v>
      </c>
      <c r="B688">
        <v>40</v>
      </c>
      <c r="C688" t="s">
        <v>15</v>
      </c>
      <c r="D688" t="s">
        <v>30</v>
      </c>
      <c r="E688" t="s">
        <v>31</v>
      </c>
      <c r="F688">
        <v>3000</v>
      </c>
      <c r="G688">
        <v>52</v>
      </c>
      <c r="H688" t="s">
        <v>13</v>
      </c>
      <c r="I688" t="s">
        <v>14</v>
      </c>
      <c r="J688">
        <v>4</v>
      </c>
      <c r="K688" s="1" t="str">
        <f t="shared" si="30"/>
        <v>30-44</v>
      </c>
      <c r="L688" s="1" t="str">
        <f t="shared" si="31"/>
        <v>Medium</v>
      </c>
      <c r="M688" s="1" t="str">
        <f t="shared" si="32"/>
        <v>Yes</v>
      </c>
    </row>
    <row r="689" spans="1:13" x14ac:dyDescent="0.35">
      <c r="A689">
        <v>699</v>
      </c>
      <c r="B689">
        <v>78</v>
      </c>
      <c r="C689" t="s">
        <v>10</v>
      </c>
      <c r="D689" t="s">
        <v>32</v>
      </c>
      <c r="E689" t="s">
        <v>33</v>
      </c>
      <c r="F689">
        <v>18000</v>
      </c>
      <c r="G689">
        <v>54</v>
      </c>
      <c r="H689" t="s">
        <v>18</v>
      </c>
      <c r="I689" t="s">
        <v>19</v>
      </c>
      <c r="J689">
        <v>2</v>
      </c>
      <c r="K689" s="1" t="str">
        <f t="shared" si="30"/>
        <v>75+</v>
      </c>
      <c r="L689" s="1" t="str">
        <f t="shared" si="31"/>
        <v>High</v>
      </c>
      <c r="M689" s="1" t="str">
        <f t="shared" si="32"/>
        <v>No</v>
      </c>
    </row>
    <row r="690" spans="1:13" x14ac:dyDescent="0.35">
      <c r="A690">
        <v>700</v>
      </c>
      <c r="B690">
        <v>25</v>
      </c>
      <c r="C690" t="s">
        <v>15</v>
      </c>
      <c r="D690" t="s">
        <v>34</v>
      </c>
      <c r="E690" t="s">
        <v>35</v>
      </c>
      <c r="F690">
        <v>100</v>
      </c>
      <c r="G690">
        <v>47</v>
      </c>
      <c r="H690" t="s">
        <v>13</v>
      </c>
      <c r="I690" t="s">
        <v>14</v>
      </c>
      <c r="J690">
        <v>5</v>
      </c>
      <c r="K690" s="1" t="str">
        <f t="shared" si="30"/>
        <v>18-29</v>
      </c>
      <c r="L690" s="1" t="str">
        <f t="shared" si="31"/>
        <v>Low</v>
      </c>
      <c r="M690" s="1" t="str">
        <f t="shared" si="32"/>
        <v>Yes</v>
      </c>
    </row>
    <row r="691" spans="1:13" x14ac:dyDescent="0.35">
      <c r="A691">
        <v>701</v>
      </c>
      <c r="B691">
        <v>52</v>
      </c>
      <c r="C691" t="s">
        <v>10</v>
      </c>
      <c r="D691" t="s">
        <v>36</v>
      </c>
      <c r="E691" t="s">
        <v>37</v>
      </c>
      <c r="F691">
        <v>800</v>
      </c>
      <c r="G691">
        <v>48</v>
      </c>
      <c r="H691" t="s">
        <v>13</v>
      </c>
      <c r="I691" t="s">
        <v>19</v>
      </c>
      <c r="J691">
        <v>4</v>
      </c>
      <c r="K691" s="1" t="str">
        <f t="shared" si="30"/>
        <v>45-59</v>
      </c>
      <c r="L691" s="1" t="str">
        <f t="shared" si="31"/>
        <v>Low</v>
      </c>
      <c r="M691" s="1" t="str">
        <f t="shared" si="32"/>
        <v>Yes</v>
      </c>
    </row>
    <row r="692" spans="1:13" x14ac:dyDescent="0.35">
      <c r="A692">
        <v>702</v>
      </c>
      <c r="B692">
        <v>58</v>
      </c>
      <c r="C692" t="s">
        <v>15</v>
      </c>
      <c r="D692" t="s">
        <v>38</v>
      </c>
      <c r="E692" t="s">
        <v>39</v>
      </c>
      <c r="F692">
        <v>20000</v>
      </c>
      <c r="G692">
        <v>55</v>
      </c>
      <c r="H692" t="s">
        <v>13</v>
      </c>
      <c r="I692" t="s">
        <v>14</v>
      </c>
      <c r="J692">
        <v>3</v>
      </c>
      <c r="K692" s="1" t="str">
        <f t="shared" si="30"/>
        <v>45-59</v>
      </c>
      <c r="L692" s="1" t="str">
        <f t="shared" si="31"/>
        <v>High</v>
      </c>
      <c r="M692" s="1" t="str">
        <f t="shared" si="32"/>
        <v>No</v>
      </c>
    </row>
    <row r="693" spans="1:13" x14ac:dyDescent="0.35">
      <c r="A693">
        <v>703</v>
      </c>
      <c r="B693">
        <v>32</v>
      </c>
      <c r="C693" t="s">
        <v>10</v>
      </c>
      <c r="D693" t="s">
        <v>40</v>
      </c>
      <c r="E693" t="s">
        <v>41</v>
      </c>
      <c r="F693">
        <v>12000</v>
      </c>
      <c r="G693">
        <v>49</v>
      </c>
      <c r="H693" t="s">
        <v>13</v>
      </c>
      <c r="I693" t="s">
        <v>14</v>
      </c>
      <c r="J693">
        <v>4</v>
      </c>
      <c r="K693" s="1" t="str">
        <f t="shared" si="30"/>
        <v>30-44</v>
      </c>
      <c r="L693" s="1" t="str">
        <f t="shared" si="31"/>
        <v>High</v>
      </c>
      <c r="M693" s="1" t="str">
        <f t="shared" si="32"/>
        <v>Yes</v>
      </c>
    </row>
    <row r="694" spans="1:13" x14ac:dyDescent="0.35">
      <c r="A694">
        <v>704</v>
      </c>
      <c r="B694">
        <v>55</v>
      </c>
      <c r="C694" t="s">
        <v>15</v>
      </c>
      <c r="D694" t="s">
        <v>42</v>
      </c>
      <c r="E694" t="s">
        <v>43</v>
      </c>
      <c r="F694">
        <v>6000</v>
      </c>
      <c r="G694">
        <v>50</v>
      </c>
      <c r="H694" t="s">
        <v>13</v>
      </c>
      <c r="I694" t="s">
        <v>14</v>
      </c>
      <c r="J694">
        <v>3</v>
      </c>
      <c r="K694" s="1" t="str">
        <f t="shared" si="30"/>
        <v>45-59</v>
      </c>
      <c r="L694" s="1" t="str">
        <f t="shared" si="31"/>
        <v>Medium</v>
      </c>
      <c r="M694" s="1" t="str">
        <f t="shared" si="32"/>
        <v>No</v>
      </c>
    </row>
    <row r="695" spans="1:13" x14ac:dyDescent="0.35">
      <c r="A695">
        <v>705</v>
      </c>
      <c r="B695">
        <v>65</v>
      </c>
      <c r="C695" t="s">
        <v>10</v>
      </c>
      <c r="D695" t="s">
        <v>44</v>
      </c>
      <c r="E695" t="s">
        <v>45</v>
      </c>
      <c r="F695">
        <v>4000</v>
      </c>
      <c r="G695">
        <v>51</v>
      </c>
      <c r="H695" t="s">
        <v>13</v>
      </c>
      <c r="I695" t="s">
        <v>19</v>
      </c>
      <c r="J695">
        <v>4</v>
      </c>
      <c r="K695" s="1" t="str">
        <f t="shared" si="30"/>
        <v>60-74</v>
      </c>
      <c r="L695" s="1" t="str">
        <f t="shared" si="31"/>
        <v>Medium</v>
      </c>
      <c r="M695" s="1" t="str">
        <f t="shared" si="32"/>
        <v>Yes</v>
      </c>
    </row>
    <row r="696" spans="1:13" x14ac:dyDescent="0.35">
      <c r="A696">
        <v>706</v>
      </c>
      <c r="B696">
        <v>55</v>
      </c>
      <c r="C696" t="s">
        <v>10</v>
      </c>
      <c r="D696" t="s">
        <v>11</v>
      </c>
      <c r="E696" t="s">
        <v>12</v>
      </c>
      <c r="F696">
        <v>15000</v>
      </c>
      <c r="G696">
        <v>52</v>
      </c>
      <c r="H696" t="s">
        <v>18</v>
      </c>
      <c r="I696" t="s">
        <v>14</v>
      </c>
      <c r="J696">
        <v>3</v>
      </c>
      <c r="K696" s="1" t="str">
        <f t="shared" si="30"/>
        <v>45-59</v>
      </c>
      <c r="L696" s="1" t="str">
        <f t="shared" si="31"/>
        <v>High</v>
      </c>
      <c r="M696" s="1" t="str">
        <f t="shared" si="32"/>
        <v>No</v>
      </c>
    </row>
    <row r="697" spans="1:13" x14ac:dyDescent="0.35">
      <c r="A697">
        <v>707</v>
      </c>
      <c r="B697">
        <v>62</v>
      </c>
      <c r="C697" t="s">
        <v>15</v>
      </c>
      <c r="D697" t="s">
        <v>16</v>
      </c>
      <c r="E697" t="s">
        <v>17</v>
      </c>
      <c r="F697">
        <v>2000</v>
      </c>
      <c r="G697">
        <v>50</v>
      </c>
      <c r="H697" t="s">
        <v>13</v>
      </c>
      <c r="I697" t="s">
        <v>19</v>
      </c>
      <c r="J697">
        <v>4</v>
      </c>
      <c r="K697" s="1" t="str">
        <f t="shared" si="30"/>
        <v>60-74</v>
      </c>
      <c r="L697" s="1" t="str">
        <f t="shared" si="31"/>
        <v>Medium</v>
      </c>
      <c r="M697" s="1" t="str">
        <f t="shared" si="32"/>
        <v>Yes</v>
      </c>
    </row>
    <row r="698" spans="1:13" x14ac:dyDescent="0.35">
      <c r="A698">
        <v>708</v>
      </c>
      <c r="B698">
        <v>35</v>
      </c>
      <c r="C698" t="s">
        <v>10</v>
      </c>
      <c r="D698" t="s">
        <v>20</v>
      </c>
      <c r="E698" t="s">
        <v>21</v>
      </c>
      <c r="F698">
        <v>500</v>
      </c>
      <c r="G698">
        <v>48</v>
      </c>
      <c r="H698" t="s">
        <v>18</v>
      </c>
      <c r="I698" t="s">
        <v>14</v>
      </c>
      <c r="J698">
        <v>5</v>
      </c>
      <c r="K698" s="1" t="str">
        <f t="shared" si="30"/>
        <v>30-44</v>
      </c>
      <c r="L698" s="1" t="str">
        <f t="shared" si="31"/>
        <v>Low</v>
      </c>
      <c r="M698" s="1" t="str">
        <f t="shared" si="32"/>
        <v>Yes</v>
      </c>
    </row>
    <row r="699" spans="1:13" x14ac:dyDescent="0.35">
      <c r="A699">
        <v>709</v>
      </c>
      <c r="B699">
        <v>78</v>
      </c>
      <c r="C699" t="s">
        <v>15</v>
      </c>
      <c r="D699" t="s">
        <v>22</v>
      </c>
      <c r="E699" t="s">
        <v>23</v>
      </c>
      <c r="F699">
        <v>10000</v>
      </c>
      <c r="G699">
        <v>55</v>
      </c>
      <c r="H699" t="s">
        <v>13</v>
      </c>
      <c r="I699" t="s">
        <v>19</v>
      </c>
      <c r="J699">
        <v>2</v>
      </c>
      <c r="K699" s="1" t="str">
        <f t="shared" si="30"/>
        <v>75+</v>
      </c>
      <c r="L699" s="1" t="str">
        <f t="shared" si="31"/>
        <v>High</v>
      </c>
      <c r="M699" s="1" t="str">
        <f t="shared" si="32"/>
        <v>No</v>
      </c>
    </row>
    <row r="700" spans="1:13" x14ac:dyDescent="0.35">
      <c r="A700">
        <v>710</v>
      </c>
      <c r="B700">
        <v>53</v>
      </c>
      <c r="C700" t="s">
        <v>10</v>
      </c>
      <c r="D700" t="s">
        <v>24</v>
      </c>
      <c r="E700" t="s">
        <v>25</v>
      </c>
      <c r="F700">
        <v>25000</v>
      </c>
      <c r="G700">
        <v>57</v>
      </c>
      <c r="H700" t="s">
        <v>18</v>
      </c>
      <c r="I700" t="s">
        <v>14</v>
      </c>
      <c r="J700">
        <v>4</v>
      </c>
      <c r="K700" s="1" t="str">
        <f t="shared" si="30"/>
        <v>45-59</v>
      </c>
      <c r="L700" s="1" t="str">
        <f t="shared" si="31"/>
        <v>High</v>
      </c>
      <c r="M700" s="1" t="str">
        <f t="shared" si="32"/>
        <v>Yes</v>
      </c>
    </row>
    <row r="701" spans="1:13" x14ac:dyDescent="0.35">
      <c r="A701">
        <v>711</v>
      </c>
      <c r="B701">
        <v>72</v>
      </c>
      <c r="C701" t="s">
        <v>15</v>
      </c>
      <c r="D701" t="s">
        <v>26</v>
      </c>
      <c r="E701" t="s">
        <v>27</v>
      </c>
      <c r="F701">
        <v>1000</v>
      </c>
      <c r="G701">
        <v>51</v>
      </c>
      <c r="H701" t="s">
        <v>13</v>
      </c>
      <c r="I701" t="s">
        <v>19</v>
      </c>
      <c r="J701">
        <v>4</v>
      </c>
      <c r="K701" s="1" t="str">
        <f t="shared" si="30"/>
        <v>60-74</v>
      </c>
      <c r="L701" s="1" t="str">
        <f t="shared" si="31"/>
        <v>Low</v>
      </c>
      <c r="M701" s="1" t="str">
        <f t="shared" si="32"/>
        <v>Yes</v>
      </c>
    </row>
    <row r="702" spans="1:13" x14ac:dyDescent="0.35">
      <c r="A702">
        <v>712</v>
      </c>
      <c r="B702">
        <v>60</v>
      </c>
      <c r="C702" t="s">
        <v>10</v>
      </c>
      <c r="D702" t="s">
        <v>28</v>
      </c>
      <c r="E702" t="s">
        <v>29</v>
      </c>
      <c r="F702">
        <v>8000</v>
      </c>
      <c r="G702">
        <v>53</v>
      </c>
      <c r="H702" t="s">
        <v>18</v>
      </c>
      <c r="I702" t="s">
        <v>14</v>
      </c>
      <c r="J702">
        <v>3</v>
      </c>
      <c r="K702" s="1" t="str">
        <f t="shared" si="30"/>
        <v>60-74</v>
      </c>
      <c r="L702" s="1" t="str">
        <f t="shared" si="31"/>
        <v>Medium</v>
      </c>
      <c r="M702" s="1" t="str">
        <f t="shared" si="32"/>
        <v>No</v>
      </c>
    </row>
    <row r="703" spans="1:13" x14ac:dyDescent="0.35">
      <c r="A703">
        <v>713</v>
      </c>
      <c r="B703">
        <v>45</v>
      </c>
      <c r="C703" t="s">
        <v>15</v>
      </c>
      <c r="D703" t="s">
        <v>30</v>
      </c>
      <c r="E703" t="s">
        <v>31</v>
      </c>
      <c r="F703">
        <v>3000</v>
      </c>
      <c r="G703">
        <v>53</v>
      </c>
      <c r="H703" t="s">
        <v>13</v>
      </c>
      <c r="I703" t="s">
        <v>14</v>
      </c>
      <c r="J703">
        <v>4</v>
      </c>
      <c r="K703" s="1" t="str">
        <f t="shared" si="30"/>
        <v>45-59</v>
      </c>
      <c r="L703" s="1" t="str">
        <f t="shared" si="31"/>
        <v>Medium</v>
      </c>
      <c r="M703" s="1" t="str">
        <f t="shared" si="32"/>
        <v>Yes</v>
      </c>
    </row>
    <row r="704" spans="1:13" x14ac:dyDescent="0.35">
      <c r="A704">
        <v>714</v>
      </c>
      <c r="B704">
        <v>75</v>
      </c>
      <c r="C704" t="s">
        <v>10</v>
      </c>
      <c r="D704" t="s">
        <v>32</v>
      </c>
      <c r="E704" t="s">
        <v>33</v>
      </c>
      <c r="F704">
        <v>18000</v>
      </c>
      <c r="G704">
        <v>55</v>
      </c>
      <c r="H704" t="s">
        <v>18</v>
      </c>
      <c r="I704" t="s">
        <v>19</v>
      </c>
      <c r="J704">
        <v>2</v>
      </c>
      <c r="K704" s="1" t="str">
        <f t="shared" si="30"/>
        <v>75+</v>
      </c>
      <c r="L704" s="1" t="str">
        <f t="shared" si="31"/>
        <v>High</v>
      </c>
      <c r="M704" s="1" t="str">
        <f t="shared" si="32"/>
        <v>No</v>
      </c>
    </row>
    <row r="705" spans="1:13" x14ac:dyDescent="0.35">
      <c r="A705">
        <v>715</v>
      </c>
      <c r="B705">
        <v>28</v>
      </c>
      <c r="C705" t="s">
        <v>15</v>
      </c>
      <c r="D705" t="s">
        <v>34</v>
      </c>
      <c r="E705" t="s">
        <v>35</v>
      </c>
      <c r="F705">
        <v>100</v>
      </c>
      <c r="G705">
        <v>48</v>
      </c>
      <c r="H705" t="s">
        <v>13</v>
      </c>
      <c r="I705" t="s">
        <v>14</v>
      </c>
      <c r="J705">
        <v>5</v>
      </c>
      <c r="K705" s="1" t="str">
        <f t="shared" si="30"/>
        <v>18-29</v>
      </c>
      <c r="L705" s="1" t="str">
        <f t="shared" si="31"/>
        <v>Low</v>
      </c>
      <c r="M705" s="1" t="str">
        <f t="shared" si="32"/>
        <v>Yes</v>
      </c>
    </row>
    <row r="706" spans="1:13" x14ac:dyDescent="0.35">
      <c r="A706">
        <v>716</v>
      </c>
      <c r="B706">
        <v>52</v>
      </c>
      <c r="C706" t="s">
        <v>10</v>
      </c>
      <c r="D706" t="s">
        <v>36</v>
      </c>
      <c r="E706" t="s">
        <v>37</v>
      </c>
      <c r="F706">
        <v>800</v>
      </c>
      <c r="G706">
        <v>49</v>
      </c>
      <c r="H706" t="s">
        <v>13</v>
      </c>
      <c r="I706" t="s">
        <v>19</v>
      </c>
      <c r="J706">
        <v>4</v>
      </c>
      <c r="K706" s="1" t="str">
        <f t="shared" si="30"/>
        <v>45-59</v>
      </c>
      <c r="L706" s="1" t="str">
        <f t="shared" si="31"/>
        <v>Low</v>
      </c>
      <c r="M706" s="1" t="str">
        <f t="shared" si="32"/>
        <v>Yes</v>
      </c>
    </row>
    <row r="707" spans="1:13" x14ac:dyDescent="0.35">
      <c r="A707">
        <v>717</v>
      </c>
      <c r="B707">
        <v>67</v>
      </c>
      <c r="C707" t="s">
        <v>15</v>
      </c>
      <c r="D707" t="s">
        <v>38</v>
      </c>
      <c r="E707" t="s">
        <v>39</v>
      </c>
      <c r="F707">
        <v>20000</v>
      </c>
      <c r="G707">
        <v>56</v>
      </c>
      <c r="H707" t="s">
        <v>13</v>
      </c>
      <c r="I707" t="s">
        <v>14</v>
      </c>
      <c r="J707">
        <v>3</v>
      </c>
      <c r="K707" s="1" t="str">
        <f t="shared" ref="K707:K770" si="33">IF(B707&lt;30,"18-29",IF(B707&lt;45,"30-44",IF(B707&lt;60,"45-59",IF(B707&lt;75,"60-74","75+"))))</f>
        <v>60-74</v>
      </c>
      <c r="L707" s="1" t="str">
        <f t="shared" ref="L707:L770" si="34">IF(F707&lt;=1000,"Low",IF(F707&lt;=8000,"Medium","High"))</f>
        <v>High</v>
      </c>
      <c r="M707" s="1" t="str">
        <f t="shared" ref="M707:M770" si="35">IF(J707&gt;=4,"Yes","No")</f>
        <v>No</v>
      </c>
    </row>
    <row r="708" spans="1:13" x14ac:dyDescent="0.35">
      <c r="A708">
        <v>718</v>
      </c>
      <c r="B708">
        <v>35</v>
      </c>
      <c r="C708" t="s">
        <v>10</v>
      </c>
      <c r="D708" t="s">
        <v>40</v>
      </c>
      <c r="E708" t="s">
        <v>41</v>
      </c>
      <c r="F708">
        <v>12000</v>
      </c>
      <c r="G708">
        <v>50</v>
      </c>
      <c r="H708" t="s">
        <v>13</v>
      </c>
      <c r="I708" t="s">
        <v>14</v>
      </c>
      <c r="J708">
        <v>4</v>
      </c>
      <c r="K708" s="1" t="str">
        <f t="shared" si="33"/>
        <v>30-44</v>
      </c>
      <c r="L708" s="1" t="str">
        <f t="shared" si="34"/>
        <v>High</v>
      </c>
      <c r="M708" s="1" t="str">
        <f t="shared" si="35"/>
        <v>Yes</v>
      </c>
    </row>
    <row r="709" spans="1:13" x14ac:dyDescent="0.35">
      <c r="A709">
        <v>719</v>
      </c>
      <c r="B709">
        <v>50</v>
      </c>
      <c r="C709" t="s">
        <v>15</v>
      </c>
      <c r="D709" t="s">
        <v>42</v>
      </c>
      <c r="E709" t="s">
        <v>43</v>
      </c>
      <c r="F709">
        <v>6000</v>
      </c>
      <c r="G709">
        <v>51</v>
      </c>
      <c r="H709" t="s">
        <v>13</v>
      </c>
      <c r="I709" t="s">
        <v>14</v>
      </c>
      <c r="J709">
        <v>3</v>
      </c>
      <c r="K709" s="1" t="str">
        <f t="shared" si="33"/>
        <v>45-59</v>
      </c>
      <c r="L709" s="1" t="str">
        <f t="shared" si="34"/>
        <v>Medium</v>
      </c>
      <c r="M709" s="1" t="str">
        <f t="shared" si="35"/>
        <v>No</v>
      </c>
    </row>
    <row r="710" spans="1:13" x14ac:dyDescent="0.35">
      <c r="A710">
        <v>720</v>
      </c>
      <c r="B710">
        <v>60</v>
      </c>
      <c r="C710" t="s">
        <v>10</v>
      </c>
      <c r="D710" t="s">
        <v>44</v>
      </c>
      <c r="E710" t="s">
        <v>45</v>
      </c>
      <c r="F710">
        <v>4000</v>
      </c>
      <c r="G710">
        <v>52</v>
      </c>
      <c r="H710" t="s">
        <v>13</v>
      </c>
      <c r="I710" t="s">
        <v>19</v>
      </c>
      <c r="J710">
        <v>4</v>
      </c>
      <c r="K710" s="1" t="str">
        <f t="shared" si="33"/>
        <v>60-74</v>
      </c>
      <c r="L710" s="1" t="str">
        <f t="shared" si="34"/>
        <v>Medium</v>
      </c>
      <c r="M710" s="1" t="str">
        <f t="shared" si="35"/>
        <v>Yes</v>
      </c>
    </row>
    <row r="711" spans="1:13" x14ac:dyDescent="0.35">
      <c r="A711">
        <v>721</v>
      </c>
      <c r="B711">
        <v>48</v>
      </c>
      <c r="C711" t="s">
        <v>10</v>
      </c>
      <c r="D711" t="s">
        <v>11</v>
      </c>
      <c r="E711" t="s">
        <v>12</v>
      </c>
      <c r="F711">
        <v>15000</v>
      </c>
      <c r="G711">
        <v>53</v>
      </c>
      <c r="H711" t="s">
        <v>18</v>
      </c>
      <c r="I711" t="s">
        <v>14</v>
      </c>
      <c r="J711">
        <v>4</v>
      </c>
      <c r="K711" s="1" t="str">
        <f t="shared" si="33"/>
        <v>45-59</v>
      </c>
      <c r="L711" s="1" t="str">
        <f t="shared" si="34"/>
        <v>High</v>
      </c>
      <c r="M711" s="1" t="str">
        <f t="shared" si="35"/>
        <v>Yes</v>
      </c>
    </row>
    <row r="712" spans="1:13" x14ac:dyDescent="0.35">
      <c r="A712">
        <v>723</v>
      </c>
      <c r="B712">
        <v>30</v>
      </c>
      <c r="C712" t="s">
        <v>10</v>
      </c>
      <c r="D712" t="s">
        <v>20</v>
      </c>
      <c r="E712" t="s">
        <v>21</v>
      </c>
      <c r="F712">
        <v>500</v>
      </c>
      <c r="G712">
        <v>49</v>
      </c>
      <c r="H712" t="s">
        <v>13</v>
      </c>
      <c r="I712" t="s">
        <v>14</v>
      </c>
      <c r="J712">
        <v>5</v>
      </c>
      <c r="K712" s="1" t="str">
        <f t="shared" si="33"/>
        <v>30-44</v>
      </c>
      <c r="L712" s="1" t="str">
        <f t="shared" si="34"/>
        <v>Low</v>
      </c>
      <c r="M712" s="1" t="str">
        <f t="shared" si="35"/>
        <v>Yes</v>
      </c>
    </row>
    <row r="713" spans="1:13" x14ac:dyDescent="0.35">
      <c r="A713">
        <v>724</v>
      </c>
      <c r="B713">
        <v>70</v>
      </c>
      <c r="C713" t="s">
        <v>15</v>
      </c>
      <c r="D713" t="s">
        <v>22</v>
      </c>
      <c r="E713" t="s">
        <v>23</v>
      </c>
      <c r="F713">
        <v>10000</v>
      </c>
      <c r="G713">
        <v>56</v>
      </c>
      <c r="H713" t="s">
        <v>18</v>
      </c>
      <c r="I713" t="s">
        <v>19</v>
      </c>
      <c r="J713">
        <v>2</v>
      </c>
      <c r="K713" s="1" t="str">
        <f t="shared" si="33"/>
        <v>60-74</v>
      </c>
      <c r="L713" s="1" t="str">
        <f t="shared" si="34"/>
        <v>High</v>
      </c>
      <c r="M713" s="1" t="str">
        <f t="shared" si="35"/>
        <v>No</v>
      </c>
    </row>
    <row r="714" spans="1:13" x14ac:dyDescent="0.35">
      <c r="A714">
        <v>725</v>
      </c>
      <c r="B714">
        <v>55</v>
      </c>
      <c r="C714" t="s">
        <v>10</v>
      </c>
      <c r="D714" t="s">
        <v>24</v>
      </c>
      <c r="E714" t="s">
        <v>25</v>
      </c>
      <c r="F714">
        <v>25000</v>
      </c>
      <c r="G714">
        <v>58</v>
      </c>
      <c r="H714" t="s">
        <v>13</v>
      </c>
      <c r="I714" t="s">
        <v>14</v>
      </c>
      <c r="J714">
        <v>4</v>
      </c>
      <c r="K714" s="1" t="str">
        <f t="shared" si="33"/>
        <v>45-59</v>
      </c>
      <c r="L714" s="1" t="str">
        <f t="shared" si="34"/>
        <v>High</v>
      </c>
      <c r="M714" s="1" t="str">
        <f t="shared" si="35"/>
        <v>Yes</v>
      </c>
    </row>
    <row r="715" spans="1:13" x14ac:dyDescent="0.35">
      <c r="A715">
        <v>726</v>
      </c>
      <c r="B715">
        <v>68</v>
      </c>
      <c r="C715" t="s">
        <v>15</v>
      </c>
      <c r="D715" t="s">
        <v>26</v>
      </c>
      <c r="E715" t="s">
        <v>27</v>
      </c>
      <c r="F715">
        <v>1000</v>
      </c>
      <c r="G715">
        <v>52</v>
      </c>
      <c r="H715" t="s">
        <v>13</v>
      </c>
      <c r="I715" t="s">
        <v>19</v>
      </c>
      <c r="J715">
        <v>4</v>
      </c>
      <c r="K715" s="1" t="str">
        <f t="shared" si="33"/>
        <v>60-74</v>
      </c>
      <c r="L715" s="1" t="str">
        <f t="shared" si="34"/>
        <v>Low</v>
      </c>
      <c r="M715" s="1" t="str">
        <f t="shared" si="35"/>
        <v>Yes</v>
      </c>
    </row>
    <row r="716" spans="1:13" x14ac:dyDescent="0.35">
      <c r="A716">
        <v>727</v>
      </c>
      <c r="B716">
        <v>45</v>
      </c>
      <c r="C716" t="s">
        <v>10</v>
      </c>
      <c r="D716" t="s">
        <v>28</v>
      </c>
      <c r="E716" t="s">
        <v>29</v>
      </c>
      <c r="F716">
        <v>8000</v>
      </c>
      <c r="G716">
        <v>54</v>
      </c>
      <c r="H716" t="s">
        <v>13</v>
      </c>
      <c r="I716" t="s">
        <v>14</v>
      </c>
      <c r="J716">
        <v>3</v>
      </c>
      <c r="K716" s="1" t="str">
        <f t="shared" si="33"/>
        <v>45-59</v>
      </c>
      <c r="L716" s="1" t="str">
        <f t="shared" si="34"/>
        <v>Medium</v>
      </c>
      <c r="M716" s="1" t="str">
        <f t="shared" si="35"/>
        <v>No</v>
      </c>
    </row>
    <row r="717" spans="1:13" x14ac:dyDescent="0.35">
      <c r="A717">
        <v>728</v>
      </c>
      <c r="B717">
        <v>40</v>
      </c>
      <c r="C717" t="s">
        <v>15</v>
      </c>
      <c r="D717" t="s">
        <v>30</v>
      </c>
      <c r="E717" t="s">
        <v>31</v>
      </c>
      <c r="F717">
        <v>3000</v>
      </c>
      <c r="G717">
        <v>54</v>
      </c>
      <c r="H717" t="s">
        <v>13</v>
      </c>
      <c r="I717" t="s">
        <v>14</v>
      </c>
      <c r="J717">
        <v>4</v>
      </c>
      <c r="K717" s="1" t="str">
        <f t="shared" si="33"/>
        <v>30-44</v>
      </c>
      <c r="L717" s="1" t="str">
        <f t="shared" si="34"/>
        <v>Medium</v>
      </c>
      <c r="M717" s="1" t="str">
        <f t="shared" si="35"/>
        <v>Yes</v>
      </c>
    </row>
    <row r="718" spans="1:13" x14ac:dyDescent="0.35">
      <c r="A718">
        <v>729</v>
      </c>
      <c r="B718">
        <v>78</v>
      </c>
      <c r="C718" t="s">
        <v>10</v>
      </c>
      <c r="D718" t="s">
        <v>32</v>
      </c>
      <c r="E718" t="s">
        <v>33</v>
      </c>
      <c r="F718">
        <v>18000</v>
      </c>
      <c r="G718">
        <v>56</v>
      </c>
      <c r="H718" t="s">
        <v>18</v>
      </c>
      <c r="I718" t="s">
        <v>19</v>
      </c>
      <c r="J718">
        <v>2</v>
      </c>
      <c r="K718" s="1" t="str">
        <f t="shared" si="33"/>
        <v>75+</v>
      </c>
      <c r="L718" s="1" t="str">
        <f t="shared" si="34"/>
        <v>High</v>
      </c>
      <c r="M718" s="1" t="str">
        <f t="shared" si="35"/>
        <v>No</v>
      </c>
    </row>
    <row r="719" spans="1:13" x14ac:dyDescent="0.35">
      <c r="A719">
        <v>730</v>
      </c>
      <c r="B719">
        <v>25</v>
      </c>
      <c r="C719" t="s">
        <v>15</v>
      </c>
      <c r="D719" t="s">
        <v>34</v>
      </c>
      <c r="E719" t="s">
        <v>35</v>
      </c>
      <c r="F719">
        <v>100</v>
      </c>
      <c r="G719">
        <v>49</v>
      </c>
      <c r="H719" t="s">
        <v>13</v>
      </c>
      <c r="I719" t="s">
        <v>14</v>
      </c>
      <c r="J719">
        <v>5</v>
      </c>
      <c r="K719" s="1" t="str">
        <f t="shared" si="33"/>
        <v>18-29</v>
      </c>
      <c r="L719" s="1" t="str">
        <f t="shared" si="34"/>
        <v>Low</v>
      </c>
      <c r="M719" s="1" t="str">
        <f t="shared" si="35"/>
        <v>Yes</v>
      </c>
    </row>
    <row r="720" spans="1:13" x14ac:dyDescent="0.35">
      <c r="A720">
        <v>731</v>
      </c>
      <c r="B720">
        <v>52</v>
      </c>
      <c r="C720" t="s">
        <v>10</v>
      </c>
      <c r="D720" t="s">
        <v>36</v>
      </c>
      <c r="E720" t="s">
        <v>37</v>
      </c>
      <c r="F720">
        <v>800</v>
      </c>
      <c r="G720">
        <v>50</v>
      </c>
      <c r="H720" t="s">
        <v>13</v>
      </c>
      <c r="I720" t="s">
        <v>19</v>
      </c>
      <c r="J720">
        <v>4</v>
      </c>
      <c r="K720" s="1" t="str">
        <f t="shared" si="33"/>
        <v>45-59</v>
      </c>
      <c r="L720" s="1" t="str">
        <f t="shared" si="34"/>
        <v>Low</v>
      </c>
      <c r="M720" s="1" t="str">
        <f t="shared" si="35"/>
        <v>Yes</v>
      </c>
    </row>
    <row r="721" spans="1:13" x14ac:dyDescent="0.35">
      <c r="A721">
        <v>732</v>
      </c>
      <c r="B721">
        <v>58</v>
      </c>
      <c r="C721" t="s">
        <v>15</v>
      </c>
      <c r="D721" t="s">
        <v>38</v>
      </c>
      <c r="E721" t="s">
        <v>39</v>
      </c>
      <c r="F721">
        <v>20000</v>
      </c>
      <c r="G721">
        <v>57</v>
      </c>
      <c r="H721" t="s">
        <v>13</v>
      </c>
      <c r="I721" t="s">
        <v>14</v>
      </c>
      <c r="J721">
        <v>3</v>
      </c>
      <c r="K721" s="1" t="str">
        <f t="shared" si="33"/>
        <v>45-59</v>
      </c>
      <c r="L721" s="1" t="str">
        <f t="shared" si="34"/>
        <v>High</v>
      </c>
      <c r="M721" s="1" t="str">
        <f t="shared" si="35"/>
        <v>No</v>
      </c>
    </row>
    <row r="722" spans="1:13" x14ac:dyDescent="0.35">
      <c r="A722">
        <v>733</v>
      </c>
      <c r="B722">
        <v>32</v>
      </c>
      <c r="C722" t="s">
        <v>10</v>
      </c>
      <c r="D722" t="s">
        <v>40</v>
      </c>
      <c r="E722" t="s">
        <v>41</v>
      </c>
      <c r="F722">
        <v>12000</v>
      </c>
      <c r="G722">
        <v>51</v>
      </c>
      <c r="H722" t="s">
        <v>13</v>
      </c>
      <c r="I722" t="s">
        <v>14</v>
      </c>
      <c r="J722">
        <v>4</v>
      </c>
      <c r="K722" s="1" t="str">
        <f t="shared" si="33"/>
        <v>30-44</v>
      </c>
      <c r="L722" s="1" t="str">
        <f t="shared" si="34"/>
        <v>High</v>
      </c>
      <c r="M722" s="1" t="str">
        <f t="shared" si="35"/>
        <v>Yes</v>
      </c>
    </row>
    <row r="723" spans="1:13" x14ac:dyDescent="0.35">
      <c r="A723">
        <v>734</v>
      </c>
      <c r="B723">
        <v>55</v>
      </c>
      <c r="C723" t="s">
        <v>15</v>
      </c>
      <c r="D723" t="s">
        <v>42</v>
      </c>
      <c r="E723" t="s">
        <v>43</v>
      </c>
      <c r="F723">
        <v>6000</v>
      </c>
      <c r="G723">
        <v>52</v>
      </c>
      <c r="H723" t="s">
        <v>13</v>
      </c>
      <c r="I723" t="s">
        <v>14</v>
      </c>
      <c r="J723">
        <v>3</v>
      </c>
      <c r="K723" s="1" t="str">
        <f t="shared" si="33"/>
        <v>45-59</v>
      </c>
      <c r="L723" s="1" t="str">
        <f t="shared" si="34"/>
        <v>Medium</v>
      </c>
      <c r="M723" s="1" t="str">
        <f t="shared" si="35"/>
        <v>No</v>
      </c>
    </row>
    <row r="724" spans="1:13" x14ac:dyDescent="0.35">
      <c r="A724">
        <v>735</v>
      </c>
      <c r="B724">
        <v>65</v>
      </c>
      <c r="C724" t="s">
        <v>10</v>
      </c>
      <c r="D724" t="s">
        <v>44</v>
      </c>
      <c r="E724" t="s">
        <v>45</v>
      </c>
      <c r="F724">
        <v>4000</v>
      </c>
      <c r="G724">
        <v>53</v>
      </c>
      <c r="H724" t="s">
        <v>13</v>
      </c>
      <c r="I724" t="s">
        <v>19</v>
      </c>
      <c r="J724">
        <v>4</v>
      </c>
      <c r="K724" s="1" t="str">
        <f t="shared" si="33"/>
        <v>60-74</v>
      </c>
      <c r="L724" s="1" t="str">
        <f t="shared" si="34"/>
        <v>Medium</v>
      </c>
      <c r="M724" s="1" t="str">
        <f t="shared" si="35"/>
        <v>Yes</v>
      </c>
    </row>
    <row r="725" spans="1:13" x14ac:dyDescent="0.35">
      <c r="A725">
        <v>736</v>
      </c>
      <c r="B725">
        <v>55</v>
      </c>
      <c r="C725" t="s">
        <v>10</v>
      </c>
      <c r="D725" t="s">
        <v>11</v>
      </c>
      <c r="E725" t="s">
        <v>12</v>
      </c>
      <c r="F725">
        <v>15000</v>
      </c>
      <c r="G725">
        <v>54</v>
      </c>
      <c r="H725" t="s">
        <v>18</v>
      </c>
      <c r="I725" t="s">
        <v>14</v>
      </c>
      <c r="J725">
        <v>3</v>
      </c>
      <c r="K725" s="1" t="str">
        <f t="shared" si="33"/>
        <v>45-59</v>
      </c>
      <c r="L725" s="1" t="str">
        <f t="shared" si="34"/>
        <v>High</v>
      </c>
      <c r="M725" s="1" t="str">
        <f t="shared" si="35"/>
        <v>No</v>
      </c>
    </row>
    <row r="726" spans="1:13" x14ac:dyDescent="0.35">
      <c r="A726">
        <v>737</v>
      </c>
      <c r="B726">
        <v>62</v>
      </c>
      <c r="C726" t="s">
        <v>15</v>
      </c>
      <c r="D726" t="s">
        <v>16</v>
      </c>
      <c r="E726" t="s">
        <v>17</v>
      </c>
      <c r="F726">
        <v>2000</v>
      </c>
      <c r="G726">
        <v>52</v>
      </c>
      <c r="H726" t="s">
        <v>13</v>
      </c>
      <c r="I726" t="s">
        <v>19</v>
      </c>
      <c r="J726">
        <v>4</v>
      </c>
      <c r="K726" s="1" t="str">
        <f t="shared" si="33"/>
        <v>60-74</v>
      </c>
      <c r="L726" s="1" t="str">
        <f t="shared" si="34"/>
        <v>Medium</v>
      </c>
      <c r="M726" s="1" t="str">
        <f t="shared" si="35"/>
        <v>Yes</v>
      </c>
    </row>
    <row r="727" spans="1:13" x14ac:dyDescent="0.35">
      <c r="A727">
        <v>738</v>
      </c>
      <c r="B727">
        <v>35</v>
      </c>
      <c r="C727" t="s">
        <v>10</v>
      </c>
      <c r="D727" t="s">
        <v>20</v>
      </c>
      <c r="E727" t="s">
        <v>21</v>
      </c>
      <c r="F727">
        <v>500</v>
      </c>
      <c r="G727">
        <v>50</v>
      </c>
      <c r="H727" t="s">
        <v>18</v>
      </c>
      <c r="I727" t="s">
        <v>14</v>
      </c>
      <c r="J727">
        <v>5</v>
      </c>
      <c r="K727" s="1" t="str">
        <f t="shared" si="33"/>
        <v>30-44</v>
      </c>
      <c r="L727" s="1" t="str">
        <f t="shared" si="34"/>
        <v>Low</v>
      </c>
      <c r="M727" s="1" t="str">
        <f t="shared" si="35"/>
        <v>Yes</v>
      </c>
    </row>
    <row r="728" spans="1:13" x14ac:dyDescent="0.35">
      <c r="A728">
        <v>739</v>
      </c>
      <c r="B728">
        <v>78</v>
      </c>
      <c r="C728" t="s">
        <v>15</v>
      </c>
      <c r="D728" t="s">
        <v>22</v>
      </c>
      <c r="E728" t="s">
        <v>23</v>
      </c>
      <c r="F728">
        <v>10000</v>
      </c>
      <c r="G728">
        <v>57</v>
      </c>
      <c r="H728" t="s">
        <v>13</v>
      </c>
      <c r="I728" t="s">
        <v>19</v>
      </c>
      <c r="J728">
        <v>2</v>
      </c>
      <c r="K728" s="1" t="str">
        <f t="shared" si="33"/>
        <v>75+</v>
      </c>
      <c r="L728" s="1" t="str">
        <f t="shared" si="34"/>
        <v>High</v>
      </c>
      <c r="M728" s="1" t="str">
        <f t="shared" si="35"/>
        <v>No</v>
      </c>
    </row>
    <row r="729" spans="1:13" x14ac:dyDescent="0.35">
      <c r="A729">
        <v>740</v>
      </c>
      <c r="B729">
        <v>53</v>
      </c>
      <c r="C729" t="s">
        <v>10</v>
      </c>
      <c r="D729" t="s">
        <v>24</v>
      </c>
      <c r="E729" t="s">
        <v>25</v>
      </c>
      <c r="F729">
        <v>25000</v>
      </c>
      <c r="G729">
        <v>59</v>
      </c>
      <c r="H729" t="s">
        <v>18</v>
      </c>
      <c r="I729" t="s">
        <v>14</v>
      </c>
      <c r="J729">
        <v>4</v>
      </c>
      <c r="K729" s="1" t="str">
        <f t="shared" si="33"/>
        <v>45-59</v>
      </c>
      <c r="L729" s="1" t="str">
        <f t="shared" si="34"/>
        <v>High</v>
      </c>
      <c r="M729" s="1" t="str">
        <f t="shared" si="35"/>
        <v>Yes</v>
      </c>
    </row>
    <row r="730" spans="1:13" x14ac:dyDescent="0.35">
      <c r="A730">
        <v>741</v>
      </c>
      <c r="B730">
        <v>72</v>
      </c>
      <c r="C730" t="s">
        <v>15</v>
      </c>
      <c r="D730" t="s">
        <v>26</v>
      </c>
      <c r="E730" t="s">
        <v>27</v>
      </c>
      <c r="F730">
        <v>1000</v>
      </c>
      <c r="G730">
        <v>53</v>
      </c>
      <c r="H730" t="s">
        <v>13</v>
      </c>
      <c r="I730" t="s">
        <v>19</v>
      </c>
      <c r="J730">
        <v>4</v>
      </c>
      <c r="K730" s="1" t="str">
        <f t="shared" si="33"/>
        <v>60-74</v>
      </c>
      <c r="L730" s="1" t="str">
        <f t="shared" si="34"/>
        <v>Low</v>
      </c>
      <c r="M730" s="1" t="str">
        <f t="shared" si="35"/>
        <v>Yes</v>
      </c>
    </row>
    <row r="731" spans="1:13" x14ac:dyDescent="0.35">
      <c r="A731">
        <v>742</v>
      </c>
      <c r="B731">
        <v>60</v>
      </c>
      <c r="C731" t="s">
        <v>10</v>
      </c>
      <c r="D731" t="s">
        <v>28</v>
      </c>
      <c r="E731" t="s">
        <v>29</v>
      </c>
      <c r="F731">
        <v>8000</v>
      </c>
      <c r="G731">
        <v>55</v>
      </c>
      <c r="H731" t="s">
        <v>18</v>
      </c>
      <c r="I731" t="s">
        <v>14</v>
      </c>
      <c r="J731">
        <v>3</v>
      </c>
      <c r="K731" s="1" t="str">
        <f t="shared" si="33"/>
        <v>60-74</v>
      </c>
      <c r="L731" s="1" t="str">
        <f t="shared" si="34"/>
        <v>Medium</v>
      </c>
      <c r="M731" s="1" t="str">
        <f t="shared" si="35"/>
        <v>No</v>
      </c>
    </row>
    <row r="732" spans="1:13" x14ac:dyDescent="0.35">
      <c r="A732">
        <v>743</v>
      </c>
      <c r="B732">
        <v>45</v>
      </c>
      <c r="C732" t="s">
        <v>15</v>
      </c>
      <c r="D732" t="s">
        <v>30</v>
      </c>
      <c r="E732" t="s">
        <v>31</v>
      </c>
      <c r="F732">
        <v>3000</v>
      </c>
      <c r="G732">
        <v>55</v>
      </c>
      <c r="H732" t="s">
        <v>13</v>
      </c>
      <c r="I732" t="s">
        <v>14</v>
      </c>
      <c r="J732">
        <v>4</v>
      </c>
      <c r="K732" s="1" t="str">
        <f t="shared" si="33"/>
        <v>45-59</v>
      </c>
      <c r="L732" s="1" t="str">
        <f t="shared" si="34"/>
        <v>Medium</v>
      </c>
      <c r="M732" s="1" t="str">
        <f t="shared" si="35"/>
        <v>Yes</v>
      </c>
    </row>
    <row r="733" spans="1:13" x14ac:dyDescent="0.35">
      <c r="A733">
        <v>744</v>
      </c>
      <c r="B733">
        <v>75</v>
      </c>
      <c r="C733" t="s">
        <v>10</v>
      </c>
      <c r="D733" t="s">
        <v>32</v>
      </c>
      <c r="E733" t="s">
        <v>33</v>
      </c>
      <c r="F733">
        <v>18000</v>
      </c>
      <c r="G733">
        <v>57</v>
      </c>
      <c r="H733" t="s">
        <v>18</v>
      </c>
      <c r="I733" t="s">
        <v>19</v>
      </c>
      <c r="J733">
        <v>2</v>
      </c>
      <c r="K733" s="1" t="str">
        <f t="shared" si="33"/>
        <v>75+</v>
      </c>
      <c r="L733" s="1" t="str">
        <f t="shared" si="34"/>
        <v>High</v>
      </c>
      <c r="M733" s="1" t="str">
        <f t="shared" si="35"/>
        <v>No</v>
      </c>
    </row>
    <row r="734" spans="1:13" x14ac:dyDescent="0.35">
      <c r="A734">
        <v>745</v>
      </c>
      <c r="B734">
        <v>28</v>
      </c>
      <c r="C734" t="s">
        <v>15</v>
      </c>
      <c r="D734" t="s">
        <v>34</v>
      </c>
      <c r="E734" t="s">
        <v>35</v>
      </c>
      <c r="F734">
        <v>100</v>
      </c>
      <c r="G734">
        <v>50</v>
      </c>
      <c r="H734" t="s">
        <v>13</v>
      </c>
      <c r="I734" t="s">
        <v>14</v>
      </c>
      <c r="J734">
        <v>5</v>
      </c>
      <c r="K734" s="1" t="str">
        <f t="shared" si="33"/>
        <v>18-29</v>
      </c>
      <c r="L734" s="1" t="str">
        <f t="shared" si="34"/>
        <v>Low</v>
      </c>
      <c r="M734" s="1" t="str">
        <f t="shared" si="35"/>
        <v>Yes</v>
      </c>
    </row>
    <row r="735" spans="1:13" x14ac:dyDescent="0.35">
      <c r="A735">
        <v>746</v>
      </c>
      <c r="B735">
        <v>52</v>
      </c>
      <c r="C735" t="s">
        <v>10</v>
      </c>
      <c r="D735" t="s">
        <v>36</v>
      </c>
      <c r="E735" t="s">
        <v>37</v>
      </c>
      <c r="F735">
        <v>800</v>
      </c>
      <c r="G735">
        <v>51</v>
      </c>
      <c r="H735" t="s">
        <v>13</v>
      </c>
      <c r="I735" t="s">
        <v>19</v>
      </c>
      <c r="J735">
        <v>4</v>
      </c>
      <c r="K735" s="1" t="str">
        <f t="shared" si="33"/>
        <v>45-59</v>
      </c>
      <c r="L735" s="1" t="str">
        <f t="shared" si="34"/>
        <v>Low</v>
      </c>
      <c r="M735" s="1" t="str">
        <f t="shared" si="35"/>
        <v>Yes</v>
      </c>
    </row>
    <row r="736" spans="1:13" x14ac:dyDescent="0.35">
      <c r="A736">
        <v>747</v>
      </c>
      <c r="B736">
        <v>67</v>
      </c>
      <c r="C736" t="s">
        <v>15</v>
      </c>
      <c r="D736" t="s">
        <v>38</v>
      </c>
      <c r="E736" t="s">
        <v>39</v>
      </c>
      <c r="F736">
        <v>20000</v>
      </c>
      <c r="G736">
        <v>58</v>
      </c>
      <c r="H736" t="s">
        <v>13</v>
      </c>
      <c r="I736" t="s">
        <v>14</v>
      </c>
      <c r="J736">
        <v>3</v>
      </c>
      <c r="K736" s="1" t="str">
        <f t="shared" si="33"/>
        <v>60-74</v>
      </c>
      <c r="L736" s="1" t="str">
        <f t="shared" si="34"/>
        <v>High</v>
      </c>
      <c r="M736" s="1" t="str">
        <f t="shared" si="35"/>
        <v>No</v>
      </c>
    </row>
    <row r="737" spans="1:13" x14ac:dyDescent="0.35">
      <c r="A737">
        <v>748</v>
      </c>
      <c r="B737">
        <v>35</v>
      </c>
      <c r="C737" t="s">
        <v>10</v>
      </c>
      <c r="D737" t="s">
        <v>40</v>
      </c>
      <c r="E737" t="s">
        <v>41</v>
      </c>
      <c r="F737">
        <v>12000</v>
      </c>
      <c r="G737">
        <v>52</v>
      </c>
      <c r="H737" t="s">
        <v>13</v>
      </c>
      <c r="I737" t="s">
        <v>14</v>
      </c>
      <c r="J737">
        <v>4</v>
      </c>
      <c r="K737" s="1" t="str">
        <f t="shared" si="33"/>
        <v>30-44</v>
      </c>
      <c r="L737" s="1" t="str">
        <f t="shared" si="34"/>
        <v>High</v>
      </c>
      <c r="M737" s="1" t="str">
        <f t="shared" si="35"/>
        <v>Yes</v>
      </c>
    </row>
    <row r="738" spans="1:13" x14ac:dyDescent="0.35">
      <c r="A738">
        <v>749</v>
      </c>
      <c r="B738">
        <v>50</v>
      </c>
      <c r="C738" t="s">
        <v>15</v>
      </c>
      <c r="D738" t="s">
        <v>42</v>
      </c>
      <c r="E738" t="s">
        <v>43</v>
      </c>
      <c r="F738">
        <v>6000</v>
      </c>
      <c r="G738">
        <v>53</v>
      </c>
      <c r="H738" t="s">
        <v>13</v>
      </c>
      <c r="I738" t="s">
        <v>14</v>
      </c>
      <c r="J738">
        <v>3</v>
      </c>
      <c r="K738" s="1" t="str">
        <f t="shared" si="33"/>
        <v>45-59</v>
      </c>
      <c r="L738" s="1" t="str">
        <f t="shared" si="34"/>
        <v>Medium</v>
      </c>
      <c r="M738" s="1" t="str">
        <f t="shared" si="35"/>
        <v>No</v>
      </c>
    </row>
    <row r="739" spans="1:13" x14ac:dyDescent="0.35">
      <c r="A739">
        <v>750</v>
      </c>
      <c r="B739">
        <v>60</v>
      </c>
      <c r="C739" t="s">
        <v>10</v>
      </c>
      <c r="D739" t="s">
        <v>44</v>
      </c>
      <c r="E739" t="s">
        <v>45</v>
      </c>
      <c r="F739">
        <v>4000</v>
      </c>
      <c r="G739">
        <v>54</v>
      </c>
      <c r="H739" t="s">
        <v>13</v>
      </c>
      <c r="I739" t="s">
        <v>19</v>
      </c>
      <c r="J739">
        <v>4</v>
      </c>
      <c r="K739" s="1" t="str">
        <f t="shared" si="33"/>
        <v>60-74</v>
      </c>
      <c r="L739" s="1" t="str">
        <f t="shared" si="34"/>
        <v>Medium</v>
      </c>
      <c r="M739" s="1" t="str">
        <f t="shared" si="35"/>
        <v>Yes</v>
      </c>
    </row>
    <row r="740" spans="1:13" x14ac:dyDescent="0.35">
      <c r="A740">
        <v>751</v>
      </c>
      <c r="B740">
        <v>48</v>
      </c>
      <c r="C740" t="s">
        <v>10</v>
      </c>
      <c r="D740" t="s">
        <v>11</v>
      </c>
      <c r="E740" t="s">
        <v>12</v>
      </c>
      <c r="F740">
        <v>15000</v>
      </c>
      <c r="G740">
        <v>55</v>
      </c>
      <c r="H740" t="s">
        <v>18</v>
      </c>
      <c r="I740" t="s">
        <v>14</v>
      </c>
      <c r="J740">
        <v>4</v>
      </c>
      <c r="K740" s="1" t="str">
        <f t="shared" si="33"/>
        <v>45-59</v>
      </c>
      <c r="L740" s="1" t="str">
        <f t="shared" si="34"/>
        <v>High</v>
      </c>
      <c r="M740" s="1" t="str">
        <f t="shared" si="35"/>
        <v>Yes</v>
      </c>
    </row>
    <row r="741" spans="1:13" x14ac:dyDescent="0.35">
      <c r="A741">
        <v>752</v>
      </c>
      <c r="B741">
        <v>65</v>
      </c>
      <c r="C741" t="s">
        <v>15</v>
      </c>
      <c r="D741" t="s">
        <v>16</v>
      </c>
      <c r="E741" t="s">
        <v>17</v>
      </c>
      <c r="F741">
        <v>2000</v>
      </c>
      <c r="G741">
        <v>53</v>
      </c>
      <c r="H741" t="s">
        <v>13</v>
      </c>
      <c r="I741" t="s">
        <v>19</v>
      </c>
      <c r="J741">
        <v>3</v>
      </c>
      <c r="K741" s="1" t="str">
        <f t="shared" si="33"/>
        <v>60-74</v>
      </c>
      <c r="L741" s="1" t="str">
        <f t="shared" si="34"/>
        <v>Medium</v>
      </c>
      <c r="M741" s="1" t="str">
        <f t="shared" si="35"/>
        <v>No</v>
      </c>
    </row>
    <row r="742" spans="1:13" x14ac:dyDescent="0.35">
      <c r="A742">
        <v>753</v>
      </c>
      <c r="B742">
        <v>30</v>
      </c>
      <c r="C742" t="s">
        <v>10</v>
      </c>
      <c r="D742" t="s">
        <v>20</v>
      </c>
      <c r="E742" t="s">
        <v>21</v>
      </c>
      <c r="F742">
        <v>500</v>
      </c>
      <c r="G742">
        <v>51</v>
      </c>
      <c r="H742" t="s">
        <v>13</v>
      </c>
      <c r="I742" t="s">
        <v>14</v>
      </c>
      <c r="J742">
        <v>5</v>
      </c>
      <c r="K742" s="1" t="str">
        <f t="shared" si="33"/>
        <v>30-44</v>
      </c>
      <c r="L742" s="1" t="str">
        <f t="shared" si="34"/>
        <v>Low</v>
      </c>
      <c r="M742" s="1" t="str">
        <f t="shared" si="35"/>
        <v>Yes</v>
      </c>
    </row>
    <row r="743" spans="1:13" x14ac:dyDescent="0.35">
      <c r="A743">
        <v>754</v>
      </c>
      <c r="B743">
        <v>70</v>
      </c>
      <c r="C743" t="s">
        <v>15</v>
      </c>
      <c r="D743" t="s">
        <v>22</v>
      </c>
      <c r="E743" t="s">
        <v>23</v>
      </c>
      <c r="F743">
        <v>10000</v>
      </c>
      <c r="G743">
        <v>58</v>
      </c>
      <c r="H743" t="s">
        <v>18</v>
      </c>
      <c r="I743" t="s">
        <v>19</v>
      </c>
      <c r="J743">
        <v>2</v>
      </c>
      <c r="K743" s="1" t="str">
        <f t="shared" si="33"/>
        <v>60-74</v>
      </c>
      <c r="L743" s="1" t="str">
        <f t="shared" si="34"/>
        <v>High</v>
      </c>
      <c r="M743" s="1" t="str">
        <f t="shared" si="35"/>
        <v>No</v>
      </c>
    </row>
    <row r="744" spans="1:13" x14ac:dyDescent="0.35">
      <c r="A744">
        <v>755</v>
      </c>
      <c r="B744">
        <v>55</v>
      </c>
      <c r="C744" t="s">
        <v>10</v>
      </c>
      <c r="D744" t="s">
        <v>24</v>
      </c>
      <c r="E744" t="s">
        <v>25</v>
      </c>
      <c r="F744">
        <v>25000</v>
      </c>
      <c r="G744">
        <v>60</v>
      </c>
      <c r="H744" t="s">
        <v>13</v>
      </c>
      <c r="I744" t="s">
        <v>14</v>
      </c>
      <c r="J744">
        <v>4</v>
      </c>
      <c r="K744" s="1" t="str">
        <f t="shared" si="33"/>
        <v>45-59</v>
      </c>
      <c r="L744" s="1" t="str">
        <f t="shared" si="34"/>
        <v>High</v>
      </c>
      <c r="M744" s="1" t="str">
        <f t="shared" si="35"/>
        <v>Yes</v>
      </c>
    </row>
    <row r="745" spans="1:13" x14ac:dyDescent="0.35">
      <c r="A745">
        <v>756</v>
      </c>
      <c r="B745">
        <v>68</v>
      </c>
      <c r="C745" t="s">
        <v>15</v>
      </c>
      <c r="D745" t="s">
        <v>26</v>
      </c>
      <c r="E745" t="s">
        <v>27</v>
      </c>
      <c r="F745">
        <v>1000</v>
      </c>
      <c r="G745">
        <v>54</v>
      </c>
      <c r="H745" t="s">
        <v>13</v>
      </c>
      <c r="I745" t="s">
        <v>19</v>
      </c>
      <c r="J745">
        <v>4</v>
      </c>
      <c r="K745" s="1" t="str">
        <f t="shared" si="33"/>
        <v>60-74</v>
      </c>
      <c r="L745" s="1" t="str">
        <f t="shared" si="34"/>
        <v>Low</v>
      </c>
      <c r="M745" s="1" t="str">
        <f t="shared" si="35"/>
        <v>Yes</v>
      </c>
    </row>
    <row r="746" spans="1:13" x14ac:dyDescent="0.35">
      <c r="A746">
        <v>757</v>
      </c>
      <c r="B746">
        <v>45</v>
      </c>
      <c r="C746" t="s">
        <v>10</v>
      </c>
      <c r="D746" t="s">
        <v>28</v>
      </c>
      <c r="E746" t="s">
        <v>29</v>
      </c>
      <c r="F746">
        <v>8000</v>
      </c>
      <c r="G746">
        <v>56</v>
      </c>
      <c r="H746" t="s">
        <v>13</v>
      </c>
      <c r="I746" t="s">
        <v>14</v>
      </c>
      <c r="J746">
        <v>3</v>
      </c>
      <c r="K746" s="1" t="str">
        <f t="shared" si="33"/>
        <v>45-59</v>
      </c>
      <c r="L746" s="1" t="str">
        <f t="shared" si="34"/>
        <v>Medium</v>
      </c>
      <c r="M746" s="1" t="str">
        <f t="shared" si="35"/>
        <v>No</v>
      </c>
    </row>
    <row r="747" spans="1:13" x14ac:dyDescent="0.35">
      <c r="A747">
        <v>758</v>
      </c>
      <c r="B747">
        <v>40</v>
      </c>
      <c r="C747" t="s">
        <v>15</v>
      </c>
      <c r="D747" t="s">
        <v>30</v>
      </c>
      <c r="E747" t="s">
        <v>31</v>
      </c>
      <c r="F747">
        <v>3000</v>
      </c>
      <c r="G747">
        <v>56</v>
      </c>
      <c r="H747" t="s">
        <v>13</v>
      </c>
      <c r="I747" t="s">
        <v>14</v>
      </c>
      <c r="J747">
        <v>4</v>
      </c>
      <c r="K747" s="1" t="str">
        <f t="shared" si="33"/>
        <v>30-44</v>
      </c>
      <c r="L747" s="1" t="str">
        <f t="shared" si="34"/>
        <v>Medium</v>
      </c>
      <c r="M747" s="1" t="str">
        <f t="shared" si="35"/>
        <v>Yes</v>
      </c>
    </row>
    <row r="748" spans="1:13" x14ac:dyDescent="0.35">
      <c r="A748">
        <v>759</v>
      </c>
      <c r="B748">
        <v>78</v>
      </c>
      <c r="C748" t="s">
        <v>10</v>
      </c>
      <c r="D748" t="s">
        <v>32</v>
      </c>
      <c r="E748" t="s">
        <v>33</v>
      </c>
      <c r="F748">
        <v>18000</v>
      </c>
      <c r="G748">
        <v>58</v>
      </c>
      <c r="H748" t="s">
        <v>18</v>
      </c>
      <c r="I748" t="s">
        <v>19</v>
      </c>
      <c r="J748">
        <v>2</v>
      </c>
      <c r="K748" s="1" t="str">
        <f t="shared" si="33"/>
        <v>75+</v>
      </c>
      <c r="L748" s="1" t="str">
        <f t="shared" si="34"/>
        <v>High</v>
      </c>
      <c r="M748" s="1" t="str">
        <f t="shared" si="35"/>
        <v>No</v>
      </c>
    </row>
    <row r="749" spans="1:13" x14ac:dyDescent="0.35">
      <c r="A749">
        <v>760</v>
      </c>
      <c r="B749">
        <v>25</v>
      </c>
      <c r="C749" t="s">
        <v>15</v>
      </c>
      <c r="D749" t="s">
        <v>34</v>
      </c>
      <c r="E749" t="s">
        <v>35</v>
      </c>
      <c r="F749">
        <v>100</v>
      </c>
      <c r="G749">
        <v>51</v>
      </c>
      <c r="H749" t="s">
        <v>13</v>
      </c>
      <c r="I749" t="s">
        <v>14</v>
      </c>
      <c r="J749">
        <v>5</v>
      </c>
      <c r="K749" s="1" t="str">
        <f t="shared" si="33"/>
        <v>18-29</v>
      </c>
      <c r="L749" s="1" t="str">
        <f t="shared" si="34"/>
        <v>Low</v>
      </c>
      <c r="M749" s="1" t="str">
        <f t="shared" si="35"/>
        <v>Yes</v>
      </c>
    </row>
    <row r="750" spans="1:13" x14ac:dyDescent="0.35">
      <c r="A750">
        <v>761</v>
      </c>
      <c r="B750">
        <v>52</v>
      </c>
      <c r="C750" t="s">
        <v>10</v>
      </c>
      <c r="D750" t="s">
        <v>36</v>
      </c>
      <c r="E750" t="s">
        <v>37</v>
      </c>
      <c r="F750">
        <v>800</v>
      </c>
      <c r="G750">
        <v>52</v>
      </c>
      <c r="H750" t="s">
        <v>13</v>
      </c>
      <c r="I750" t="s">
        <v>19</v>
      </c>
      <c r="J750">
        <v>4</v>
      </c>
      <c r="K750" s="1" t="str">
        <f t="shared" si="33"/>
        <v>45-59</v>
      </c>
      <c r="L750" s="1" t="str">
        <f t="shared" si="34"/>
        <v>Low</v>
      </c>
      <c r="M750" s="1" t="str">
        <f t="shared" si="35"/>
        <v>Yes</v>
      </c>
    </row>
    <row r="751" spans="1:13" x14ac:dyDescent="0.35">
      <c r="A751">
        <v>762</v>
      </c>
      <c r="B751">
        <v>58</v>
      </c>
      <c r="C751" t="s">
        <v>15</v>
      </c>
      <c r="D751" t="s">
        <v>38</v>
      </c>
      <c r="E751" t="s">
        <v>39</v>
      </c>
      <c r="F751">
        <v>20000</v>
      </c>
      <c r="G751">
        <v>59</v>
      </c>
      <c r="H751" t="s">
        <v>13</v>
      </c>
      <c r="I751" t="s">
        <v>14</v>
      </c>
      <c r="J751">
        <v>3</v>
      </c>
      <c r="K751" s="1" t="str">
        <f t="shared" si="33"/>
        <v>45-59</v>
      </c>
      <c r="L751" s="1" t="str">
        <f t="shared" si="34"/>
        <v>High</v>
      </c>
      <c r="M751" s="1" t="str">
        <f t="shared" si="35"/>
        <v>No</v>
      </c>
    </row>
    <row r="752" spans="1:13" x14ac:dyDescent="0.35">
      <c r="A752">
        <v>763</v>
      </c>
      <c r="B752">
        <v>32</v>
      </c>
      <c r="C752" t="s">
        <v>10</v>
      </c>
      <c r="D752" t="s">
        <v>40</v>
      </c>
      <c r="E752" t="s">
        <v>41</v>
      </c>
      <c r="F752">
        <v>12000</v>
      </c>
      <c r="G752">
        <v>53</v>
      </c>
      <c r="H752" t="s">
        <v>13</v>
      </c>
      <c r="I752" t="s">
        <v>14</v>
      </c>
      <c r="J752">
        <v>4</v>
      </c>
      <c r="K752" s="1" t="str">
        <f t="shared" si="33"/>
        <v>30-44</v>
      </c>
      <c r="L752" s="1" t="str">
        <f t="shared" si="34"/>
        <v>High</v>
      </c>
      <c r="M752" s="1" t="str">
        <f t="shared" si="35"/>
        <v>Yes</v>
      </c>
    </row>
    <row r="753" spans="1:13" x14ac:dyDescent="0.35">
      <c r="A753">
        <v>764</v>
      </c>
      <c r="B753">
        <v>55</v>
      </c>
      <c r="C753" t="s">
        <v>15</v>
      </c>
      <c r="D753" t="s">
        <v>42</v>
      </c>
      <c r="E753" t="s">
        <v>43</v>
      </c>
      <c r="F753">
        <v>6000</v>
      </c>
      <c r="G753">
        <v>54</v>
      </c>
      <c r="H753" t="s">
        <v>13</v>
      </c>
      <c r="I753" t="s">
        <v>14</v>
      </c>
      <c r="J753">
        <v>3</v>
      </c>
      <c r="K753" s="1" t="str">
        <f t="shared" si="33"/>
        <v>45-59</v>
      </c>
      <c r="L753" s="1" t="str">
        <f t="shared" si="34"/>
        <v>Medium</v>
      </c>
      <c r="M753" s="1" t="str">
        <f t="shared" si="35"/>
        <v>No</v>
      </c>
    </row>
    <row r="754" spans="1:13" x14ac:dyDescent="0.35">
      <c r="A754">
        <v>765</v>
      </c>
      <c r="B754">
        <v>65</v>
      </c>
      <c r="C754" t="s">
        <v>10</v>
      </c>
      <c r="D754" t="s">
        <v>44</v>
      </c>
      <c r="E754" t="s">
        <v>45</v>
      </c>
      <c r="F754">
        <v>4000</v>
      </c>
      <c r="G754">
        <v>55</v>
      </c>
      <c r="H754" t="s">
        <v>13</v>
      </c>
      <c r="I754" t="s">
        <v>19</v>
      </c>
      <c r="J754">
        <v>4</v>
      </c>
      <c r="K754" s="1" t="str">
        <f t="shared" si="33"/>
        <v>60-74</v>
      </c>
      <c r="L754" s="1" t="str">
        <f t="shared" si="34"/>
        <v>Medium</v>
      </c>
      <c r="M754" s="1" t="str">
        <f t="shared" si="35"/>
        <v>Yes</v>
      </c>
    </row>
    <row r="755" spans="1:13" x14ac:dyDescent="0.35">
      <c r="A755">
        <v>766</v>
      </c>
      <c r="B755">
        <v>55</v>
      </c>
      <c r="C755" t="s">
        <v>10</v>
      </c>
      <c r="D755" t="s">
        <v>11</v>
      </c>
      <c r="E755" t="s">
        <v>12</v>
      </c>
      <c r="F755">
        <v>15000</v>
      </c>
      <c r="G755">
        <v>56</v>
      </c>
      <c r="H755" t="s">
        <v>18</v>
      </c>
      <c r="I755" t="s">
        <v>14</v>
      </c>
      <c r="J755">
        <v>3</v>
      </c>
      <c r="K755" s="1" t="str">
        <f t="shared" si="33"/>
        <v>45-59</v>
      </c>
      <c r="L755" s="1" t="str">
        <f t="shared" si="34"/>
        <v>High</v>
      </c>
      <c r="M755" s="1" t="str">
        <f t="shared" si="35"/>
        <v>No</v>
      </c>
    </row>
    <row r="756" spans="1:13" x14ac:dyDescent="0.35">
      <c r="A756">
        <v>767</v>
      </c>
      <c r="B756">
        <v>62</v>
      </c>
      <c r="C756" t="s">
        <v>15</v>
      </c>
      <c r="D756" t="s">
        <v>16</v>
      </c>
      <c r="E756" t="s">
        <v>17</v>
      </c>
      <c r="F756">
        <v>2000</v>
      </c>
      <c r="G756">
        <v>54</v>
      </c>
      <c r="H756" t="s">
        <v>13</v>
      </c>
      <c r="I756" t="s">
        <v>19</v>
      </c>
      <c r="J756">
        <v>4</v>
      </c>
      <c r="K756" s="1" t="str">
        <f t="shared" si="33"/>
        <v>60-74</v>
      </c>
      <c r="L756" s="1" t="str">
        <f t="shared" si="34"/>
        <v>Medium</v>
      </c>
      <c r="M756" s="1" t="str">
        <f t="shared" si="35"/>
        <v>Yes</v>
      </c>
    </row>
    <row r="757" spans="1:13" x14ac:dyDescent="0.35">
      <c r="A757">
        <v>768</v>
      </c>
      <c r="B757">
        <v>35</v>
      </c>
      <c r="C757" t="s">
        <v>10</v>
      </c>
      <c r="D757" t="s">
        <v>20</v>
      </c>
      <c r="E757" t="s">
        <v>21</v>
      </c>
      <c r="F757">
        <v>500</v>
      </c>
      <c r="G757">
        <v>52</v>
      </c>
      <c r="H757" t="s">
        <v>18</v>
      </c>
      <c r="I757" t="s">
        <v>14</v>
      </c>
      <c r="J757">
        <v>5</v>
      </c>
      <c r="K757" s="1" t="str">
        <f t="shared" si="33"/>
        <v>30-44</v>
      </c>
      <c r="L757" s="1" t="str">
        <f t="shared" si="34"/>
        <v>Low</v>
      </c>
      <c r="M757" s="1" t="str">
        <f t="shared" si="35"/>
        <v>Yes</v>
      </c>
    </row>
    <row r="758" spans="1:13" x14ac:dyDescent="0.35">
      <c r="A758">
        <v>769</v>
      </c>
      <c r="B758">
        <v>78</v>
      </c>
      <c r="C758" t="s">
        <v>15</v>
      </c>
      <c r="D758" t="s">
        <v>22</v>
      </c>
      <c r="E758" t="s">
        <v>23</v>
      </c>
      <c r="F758">
        <v>10000</v>
      </c>
      <c r="G758">
        <v>59</v>
      </c>
      <c r="H758" t="s">
        <v>13</v>
      </c>
      <c r="I758" t="s">
        <v>19</v>
      </c>
      <c r="J758">
        <v>2</v>
      </c>
      <c r="K758" s="1" t="str">
        <f t="shared" si="33"/>
        <v>75+</v>
      </c>
      <c r="L758" s="1" t="str">
        <f t="shared" si="34"/>
        <v>High</v>
      </c>
      <c r="M758" s="1" t="str">
        <f t="shared" si="35"/>
        <v>No</v>
      </c>
    </row>
    <row r="759" spans="1:13" x14ac:dyDescent="0.35">
      <c r="A759">
        <v>770</v>
      </c>
      <c r="B759">
        <v>53</v>
      </c>
      <c r="C759" t="s">
        <v>10</v>
      </c>
      <c r="D759" t="s">
        <v>24</v>
      </c>
      <c r="E759" t="s">
        <v>25</v>
      </c>
      <c r="F759">
        <v>25000</v>
      </c>
      <c r="G759">
        <v>61</v>
      </c>
      <c r="H759" t="s">
        <v>18</v>
      </c>
      <c r="I759" t="s">
        <v>14</v>
      </c>
      <c r="J759">
        <v>4</v>
      </c>
      <c r="K759" s="1" t="str">
        <f t="shared" si="33"/>
        <v>45-59</v>
      </c>
      <c r="L759" s="1" t="str">
        <f t="shared" si="34"/>
        <v>High</v>
      </c>
      <c r="M759" s="1" t="str">
        <f t="shared" si="35"/>
        <v>Yes</v>
      </c>
    </row>
    <row r="760" spans="1:13" x14ac:dyDescent="0.35">
      <c r="A760">
        <v>771</v>
      </c>
      <c r="B760">
        <v>72</v>
      </c>
      <c r="C760" t="s">
        <v>15</v>
      </c>
      <c r="D760" t="s">
        <v>26</v>
      </c>
      <c r="E760" t="s">
        <v>27</v>
      </c>
      <c r="F760">
        <v>1000</v>
      </c>
      <c r="G760">
        <v>55</v>
      </c>
      <c r="H760" t="s">
        <v>13</v>
      </c>
      <c r="I760" t="s">
        <v>19</v>
      </c>
      <c r="J760">
        <v>4</v>
      </c>
      <c r="K760" s="1" t="str">
        <f t="shared" si="33"/>
        <v>60-74</v>
      </c>
      <c r="L760" s="1" t="str">
        <f t="shared" si="34"/>
        <v>Low</v>
      </c>
      <c r="M760" s="1" t="str">
        <f t="shared" si="35"/>
        <v>Yes</v>
      </c>
    </row>
    <row r="761" spans="1:13" x14ac:dyDescent="0.35">
      <c r="A761">
        <v>772</v>
      </c>
      <c r="B761">
        <v>60</v>
      </c>
      <c r="C761" t="s">
        <v>10</v>
      </c>
      <c r="D761" t="s">
        <v>28</v>
      </c>
      <c r="E761" t="s">
        <v>29</v>
      </c>
      <c r="F761">
        <v>8000</v>
      </c>
      <c r="G761">
        <v>57</v>
      </c>
      <c r="H761" t="s">
        <v>18</v>
      </c>
      <c r="I761" t="s">
        <v>14</v>
      </c>
      <c r="J761">
        <v>3</v>
      </c>
      <c r="K761" s="1" t="str">
        <f t="shared" si="33"/>
        <v>60-74</v>
      </c>
      <c r="L761" s="1" t="str">
        <f t="shared" si="34"/>
        <v>Medium</v>
      </c>
      <c r="M761" s="1" t="str">
        <f t="shared" si="35"/>
        <v>No</v>
      </c>
    </row>
    <row r="762" spans="1:13" x14ac:dyDescent="0.35">
      <c r="A762">
        <v>773</v>
      </c>
      <c r="B762">
        <v>45</v>
      </c>
      <c r="C762" t="s">
        <v>15</v>
      </c>
      <c r="D762" t="s">
        <v>30</v>
      </c>
      <c r="E762" t="s">
        <v>31</v>
      </c>
      <c r="F762">
        <v>3000</v>
      </c>
      <c r="G762">
        <v>57</v>
      </c>
      <c r="H762" t="s">
        <v>13</v>
      </c>
      <c r="I762" t="s">
        <v>14</v>
      </c>
      <c r="J762">
        <v>4</v>
      </c>
      <c r="K762" s="1" t="str">
        <f t="shared" si="33"/>
        <v>45-59</v>
      </c>
      <c r="L762" s="1" t="str">
        <f t="shared" si="34"/>
        <v>Medium</v>
      </c>
      <c r="M762" s="1" t="str">
        <f t="shared" si="35"/>
        <v>Yes</v>
      </c>
    </row>
    <row r="763" spans="1:13" x14ac:dyDescent="0.35">
      <c r="A763">
        <v>774</v>
      </c>
      <c r="B763">
        <v>75</v>
      </c>
      <c r="C763" t="s">
        <v>10</v>
      </c>
      <c r="D763" t="s">
        <v>32</v>
      </c>
      <c r="E763" t="s">
        <v>33</v>
      </c>
      <c r="F763">
        <v>18000</v>
      </c>
      <c r="G763">
        <v>59</v>
      </c>
      <c r="H763" t="s">
        <v>18</v>
      </c>
      <c r="I763" t="s">
        <v>19</v>
      </c>
      <c r="J763">
        <v>2</v>
      </c>
      <c r="K763" s="1" t="str">
        <f t="shared" si="33"/>
        <v>75+</v>
      </c>
      <c r="L763" s="1" t="str">
        <f t="shared" si="34"/>
        <v>High</v>
      </c>
      <c r="M763" s="1" t="str">
        <f t="shared" si="35"/>
        <v>No</v>
      </c>
    </row>
    <row r="764" spans="1:13" x14ac:dyDescent="0.35">
      <c r="A764">
        <v>775</v>
      </c>
      <c r="B764">
        <v>28</v>
      </c>
      <c r="C764" t="s">
        <v>15</v>
      </c>
      <c r="D764" t="s">
        <v>34</v>
      </c>
      <c r="E764" t="s">
        <v>35</v>
      </c>
      <c r="F764">
        <v>100</v>
      </c>
      <c r="G764">
        <v>52</v>
      </c>
      <c r="H764" t="s">
        <v>13</v>
      </c>
      <c r="I764" t="s">
        <v>14</v>
      </c>
      <c r="J764">
        <v>5</v>
      </c>
      <c r="K764" s="1" t="str">
        <f t="shared" si="33"/>
        <v>18-29</v>
      </c>
      <c r="L764" s="1" t="str">
        <f t="shared" si="34"/>
        <v>Low</v>
      </c>
      <c r="M764" s="1" t="str">
        <f t="shared" si="35"/>
        <v>Yes</v>
      </c>
    </row>
    <row r="765" spans="1:13" x14ac:dyDescent="0.35">
      <c r="A765">
        <v>776</v>
      </c>
      <c r="B765">
        <v>52</v>
      </c>
      <c r="C765" t="s">
        <v>10</v>
      </c>
      <c r="D765" t="s">
        <v>36</v>
      </c>
      <c r="E765" t="s">
        <v>37</v>
      </c>
      <c r="F765">
        <v>800</v>
      </c>
      <c r="G765">
        <v>53</v>
      </c>
      <c r="H765" t="s">
        <v>13</v>
      </c>
      <c r="I765" t="s">
        <v>19</v>
      </c>
      <c r="J765">
        <v>4</v>
      </c>
      <c r="K765" s="1" t="str">
        <f t="shared" si="33"/>
        <v>45-59</v>
      </c>
      <c r="L765" s="1" t="str">
        <f t="shared" si="34"/>
        <v>Low</v>
      </c>
      <c r="M765" s="1" t="str">
        <f t="shared" si="35"/>
        <v>Yes</v>
      </c>
    </row>
    <row r="766" spans="1:13" x14ac:dyDescent="0.35">
      <c r="A766">
        <v>777</v>
      </c>
      <c r="B766">
        <v>67</v>
      </c>
      <c r="C766" t="s">
        <v>15</v>
      </c>
      <c r="D766" t="s">
        <v>38</v>
      </c>
      <c r="E766" t="s">
        <v>39</v>
      </c>
      <c r="F766">
        <v>20000</v>
      </c>
      <c r="G766">
        <v>60</v>
      </c>
      <c r="H766" t="s">
        <v>13</v>
      </c>
      <c r="I766" t="s">
        <v>14</v>
      </c>
      <c r="J766">
        <v>3</v>
      </c>
      <c r="K766" s="1" t="str">
        <f t="shared" si="33"/>
        <v>60-74</v>
      </c>
      <c r="L766" s="1" t="str">
        <f t="shared" si="34"/>
        <v>High</v>
      </c>
      <c r="M766" s="1" t="str">
        <f t="shared" si="35"/>
        <v>No</v>
      </c>
    </row>
    <row r="767" spans="1:13" x14ac:dyDescent="0.35">
      <c r="A767">
        <v>778</v>
      </c>
      <c r="B767">
        <v>35</v>
      </c>
      <c r="C767" t="s">
        <v>10</v>
      </c>
      <c r="D767" t="s">
        <v>40</v>
      </c>
      <c r="E767" t="s">
        <v>41</v>
      </c>
      <c r="F767">
        <v>12000</v>
      </c>
      <c r="G767">
        <v>54</v>
      </c>
      <c r="H767" t="s">
        <v>13</v>
      </c>
      <c r="I767" t="s">
        <v>14</v>
      </c>
      <c r="J767">
        <v>4</v>
      </c>
      <c r="K767" s="1" t="str">
        <f t="shared" si="33"/>
        <v>30-44</v>
      </c>
      <c r="L767" s="1" t="str">
        <f t="shared" si="34"/>
        <v>High</v>
      </c>
      <c r="M767" s="1" t="str">
        <f t="shared" si="35"/>
        <v>Yes</v>
      </c>
    </row>
    <row r="768" spans="1:13" x14ac:dyDescent="0.35">
      <c r="A768">
        <v>779</v>
      </c>
      <c r="B768">
        <v>50</v>
      </c>
      <c r="C768" t="s">
        <v>15</v>
      </c>
      <c r="D768" t="s">
        <v>42</v>
      </c>
      <c r="E768" t="s">
        <v>43</v>
      </c>
      <c r="F768">
        <v>6000</v>
      </c>
      <c r="G768">
        <v>55</v>
      </c>
      <c r="H768" t="s">
        <v>13</v>
      </c>
      <c r="I768" t="s">
        <v>14</v>
      </c>
      <c r="J768">
        <v>3</v>
      </c>
      <c r="K768" s="1" t="str">
        <f t="shared" si="33"/>
        <v>45-59</v>
      </c>
      <c r="L768" s="1" t="str">
        <f t="shared" si="34"/>
        <v>Medium</v>
      </c>
      <c r="M768" s="1" t="str">
        <f t="shared" si="35"/>
        <v>No</v>
      </c>
    </row>
    <row r="769" spans="1:13" x14ac:dyDescent="0.35">
      <c r="A769">
        <v>780</v>
      </c>
      <c r="B769">
        <v>60</v>
      </c>
      <c r="C769" t="s">
        <v>10</v>
      </c>
      <c r="D769" t="s">
        <v>44</v>
      </c>
      <c r="E769" t="s">
        <v>45</v>
      </c>
      <c r="F769">
        <v>4000</v>
      </c>
      <c r="G769">
        <v>56</v>
      </c>
      <c r="H769" t="s">
        <v>13</v>
      </c>
      <c r="I769" t="s">
        <v>19</v>
      </c>
      <c r="J769">
        <v>4</v>
      </c>
      <c r="K769" s="1" t="str">
        <f t="shared" si="33"/>
        <v>60-74</v>
      </c>
      <c r="L769" s="1" t="str">
        <f t="shared" si="34"/>
        <v>Medium</v>
      </c>
      <c r="M769" s="1" t="str">
        <f t="shared" si="35"/>
        <v>Yes</v>
      </c>
    </row>
    <row r="770" spans="1:13" x14ac:dyDescent="0.35">
      <c r="A770">
        <v>781</v>
      </c>
      <c r="B770">
        <v>48</v>
      </c>
      <c r="C770" t="s">
        <v>10</v>
      </c>
      <c r="D770" t="s">
        <v>11</v>
      </c>
      <c r="E770" t="s">
        <v>12</v>
      </c>
      <c r="F770">
        <v>15000</v>
      </c>
      <c r="G770">
        <v>57</v>
      </c>
      <c r="H770" t="s">
        <v>18</v>
      </c>
      <c r="I770" t="s">
        <v>14</v>
      </c>
      <c r="J770">
        <v>4</v>
      </c>
      <c r="K770" s="1" t="str">
        <f t="shared" si="33"/>
        <v>45-59</v>
      </c>
      <c r="L770" s="1" t="str">
        <f t="shared" si="34"/>
        <v>High</v>
      </c>
      <c r="M770" s="1" t="str">
        <f t="shared" si="35"/>
        <v>Yes</v>
      </c>
    </row>
    <row r="771" spans="1:13" x14ac:dyDescent="0.35">
      <c r="A771">
        <v>782</v>
      </c>
      <c r="B771">
        <v>65</v>
      </c>
      <c r="C771" t="s">
        <v>15</v>
      </c>
      <c r="D771" t="s">
        <v>16</v>
      </c>
      <c r="E771" t="s">
        <v>17</v>
      </c>
      <c r="F771">
        <v>2000</v>
      </c>
      <c r="G771">
        <v>55</v>
      </c>
      <c r="H771" t="s">
        <v>13</v>
      </c>
      <c r="I771" t="s">
        <v>19</v>
      </c>
      <c r="J771">
        <v>3</v>
      </c>
      <c r="K771" s="1" t="str">
        <f t="shared" ref="K771:K834" si="36">IF(B771&lt;30,"18-29",IF(B771&lt;45,"30-44",IF(B771&lt;60,"45-59",IF(B771&lt;75,"60-74","75+"))))</f>
        <v>60-74</v>
      </c>
      <c r="L771" s="1" t="str">
        <f t="shared" ref="L771:L834" si="37">IF(F771&lt;=1000,"Low",IF(F771&lt;=8000,"Medium","High"))</f>
        <v>Medium</v>
      </c>
      <c r="M771" s="1" t="str">
        <f t="shared" ref="M771:M834" si="38">IF(J771&gt;=4,"Yes","No")</f>
        <v>No</v>
      </c>
    </row>
    <row r="772" spans="1:13" x14ac:dyDescent="0.35">
      <c r="A772">
        <v>783</v>
      </c>
      <c r="B772">
        <v>30</v>
      </c>
      <c r="C772" t="s">
        <v>10</v>
      </c>
      <c r="D772" t="s">
        <v>20</v>
      </c>
      <c r="E772" t="s">
        <v>21</v>
      </c>
      <c r="F772">
        <v>500</v>
      </c>
      <c r="G772">
        <v>53</v>
      </c>
      <c r="H772" t="s">
        <v>13</v>
      </c>
      <c r="I772" t="s">
        <v>14</v>
      </c>
      <c r="J772">
        <v>5</v>
      </c>
      <c r="K772" s="1" t="str">
        <f t="shared" si="36"/>
        <v>30-44</v>
      </c>
      <c r="L772" s="1" t="str">
        <f t="shared" si="37"/>
        <v>Low</v>
      </c>
      <c r="M772" s="1" t="str">
        <f t="shared" si="38"/>
        <v>Yes</v>
      </c>
    </row>
    <row r="773" spans="1:13" x14ac:dyDescent="0.35">
      <c r="A773">
        <v>785</v>
      </c>
      <c r="B773">
        <v>55</v>
      </c>
      <c r="C773" t="s">
        <v>10</v>
      </c>
      <c r="D773" t="s">
        <v>24</v>
      </c>
      <c r="E773" t="s">
        <v>25</v>
      </c>
      <c r="F773">
        <v>25000</v>
      </c>
      <c r="G773">
        <v>62</v>
      </c>
      <c r="H773" t="s">
        <v>13</v>
      </c>
      <c r="I773" t="s">
        <v>14</v>
      </c>
      <c r="J773">
        <v>4</v>
      </c>
      <c r="K773" s="1" t="str">
        <f t="shared" si="36"/>
        <v>45-59</v>
      </c>
      <c r="L773" s="1" t="str">
        <f t="shared" si="37"/>
        <v>High</v>
      </c>
      <c r="M773" s="1" t="str">
        <f t="shared" si="38"/>
        <v>Yes</v>
      </c>
    </row>
    <row r="774" spans="1:13" x14ac:dyDescent="0.35">
      <c r="A774">
        <v>786</v>
      </c>
      <c r="B774">
        <v>68</v>
      </c>
      <c r="C774" t="s">
        <v>15</v>
      </c>
      <c r="D774" t="s">
        <v>26</v>
      </c>
      <c r="E774" t="s">
        <v>27</v>
      </c>
      <c r="F774">
        <v>1000</v>
      </c>
      <c r="G774">
        <v>56</v>
      </c>
      <c r="H774" t="s">
        <v>13</v>
      </c>
      <c r="I774" t="s">
        <v>19</v>
      </c>
      <c r="J774">
        <v>4</v>
      </c>
      <c r="K774" s="1" t="str">
        <f t="shared" si="36"/>
        <v>60-74</v>
      </c>
      <c r="L774" s="1" t="str">
        <f t="shared" si="37"/>
        <v>Low</v>
      </c>
      <c r="M774" s="1" t="str">
        <f t="shared" si="38"/>
        <v>Yes</v>
      </c>
    </row>
    <row r="775" spans="1:13" x14ac:dyDescent="0.35">
      <c r="A775">
        <v>787</v>
      </c>
      <c r="B775">
        <v>45</v>
      </c>
      <c r="C775" t="s">
        <v>10</v>
      </c>
      <c r="D775" t="s">
        <v>28</v>
      </c>
      <c r="E775" t="s">
        <v>29</v>
      </c>
      <c r="F775">
        <v>8000</v>
      </c>
      <c r="G775">
        <v>58</v>
      </c>
      <c r="H775" t="s">
        <v>13</v>
      </c>
      <c r="I775" t="s">
        <v>14</v>
      </c>
      <c r="J775">
        <v>3</v>
      </c>
      <c r="K775" s="1" t="str">
        <f t="shared" si="36"/>
        <v>45-59</v>
      </c>
      <c r="L775" s="1" t="str">
        <f t="shared" si="37"/>
        <v>Medium</v>
      </c>
      <c r="M775" s="1" t="str">
        <f t="shared" si="38"/>
        <v>No</v>
      </c>
    </row>
    <row r="776" spans="1:13" x14ac:dyDescent="0.35">
      <c r="A776">
        <v>788</v>
      </c>
      <c r="B776">
        <v>40</v>
      </c>
      <c r="C776" t="s">
        <v>15</v>
      </c>
      <c r="D776" t="s">
        <v>30</v>
      </c>
      <c r="E776" t="s">
        <v>31</v>
      </c>
      <c r="F776">
        <v>3000</v>
      </c>
      <c r="G776">
        <v>58</v>
      </c>
      <c r="H776" t="s">
        <v>13</v>
      </c>
      <c r="I776" t="s">
        <v>14</v>
      </c>
      <c r="J776">
        <v>4</v>
      </c>
      <c r="K776" s="1" t="str">
        <f t="shared" si="36"/>
        <v>30-44</v>
      </c>
      <c r="L776" s="1" t="str">
        <f t="shared" si="37"/>
        <v>Medium</v>
      </c>
      <c r="M776" s="1" t="str">
        <f t="shared" si="38"/>
        <v>Yes</v>
      </c>
    </row>
    <row r="777" spans="1:13" x14ac:dyDescent="0.35">
      <c r="A777">
        <v>789</v>
      </c>
      <c r="B777">
        <v>78</v>
      </c>
      <c r="C777" t="s">
        <v>10</v>
      </c>
      <c r="D777" t="s">
        <v>32</v>
      </c>
      <c r="E777" t="s">
        <v>33</v>
      </c>
      <c r="F777">
        <v>18000</v>
      </c>
      <c r="G777">
        <v>60</v>
      </c>
      <c r="H777" t="s">
        <v>18</v>
      </c>
      <c r="I777" t="s">
        <v>19</v>
      </c>
      <c r="J777">
        <v>2</v>
      </c>
      <c r="K777" s="1" t="str">
        <f t="shared" si="36"/>
        <v>75+</v>
      </c>
      <c r="L777" s="1" t="str">
        <f t="shared" si="37"/>
        <v>High</v>
      </c>
      <c r="M777" s="1" t="str">
        <f t="shared" si="38"/>
        <v>No</v>
      </c>
    </row>
    <row r="778" spans="1:13" x14ac:dyDescent="0.35">
      <c r="A778">
        <v>790</v>
      </c>
      <c r="B778">
        <v>25</v>
      </c>
      <c r="C778" t="s">
        <v>15</v>
      </c>
      <c r="D778" t="s">
        <v>34</v>
      </c>
      <c r="E778" t="s">
        <v>35</v>
      </c>
      <c r="F778">
        <v>100</v>
      </c>
      <c r="G778">
        <v>53</v>
      </c>
      <c r="H778" t="s">
        <v>13</v>
      </c>
      <c r="I778" t="s">
        <v>14</v>
      </c>
      <c r="J778">
        <v>5</v>
      </c>
      <c r="K778" s="1" t="str">
        <f t="shared" si="36"/>
        <v>18-29</v>
      </c>
      <c r="L778" s="1" t="str">
        <f t="shared" si="37"/>
        <v>Low</v>
      </c>
      <c r="M778" s="1" t="str">
        <f t="shared" si="38"/>
        <v>Yes</v>
      </c>
    </row>
    <row r="779" spans="1:13" x14ac:dyDescent="0.35">
      <c r="A779">
        <v>791</v>
      </c>
      <c r="B779">
        <v>52</v>
      </c>
      <c r="C779" t="s">
        <v>10</v>
      </c>
      <c r="D779" t="s">
        <v>36</v>
      </c>
      <c r="E779" t="s">
        <v>37</v>
      </c>
      <c r="F779">
        <v>800</v>
      </c>
      <c r="G779">
        <v>54</v>
      </c>
      <c r="H779" t="s">
        <v>13</v>
      </c>
      <c r="I779" t="s">
        <v>19</v>
      </c>
      <c r="J779">
        <v>4</v>
      </c>
      <c r="K779" s="1" t="str">
        <f t="shared" si="36"/>
        <v>45-59</v>
      </c>
      <c r="L779" s="1" t="str">
        <f t="shared" si="37"/>
        <v>Low</v>
      </c>
      <c r="M779" s="1" t="str">
        <f t="shared" si="38"/>
        <v>Yes</v>
      </c>
    </row>
    <row r="780" spans="1:13" x14ac:dyDescent="0.35">
      <c r="A780">
        <v>792</v>
      </c>
      <c r="B780">
        <v>58</v>
      </c>
      <c r="C780" t="s">
        <v>15</v>
      </c>
      <c r="D780" t="s">
        <v>38</v>
      </c>
      <c r="E780" t="s">
        <v>39</v>
      </c>
      <c r="F780">
        <v>20000</v>
      </c>
      <c r="G780">
        <v>61</v>
      </c>
      <c r="H780" t="s">
        <v>13</v>
      </c>
      <c r="I780" t="s">
        <v>14</v>
      </c>
      <c r="J780">
        <v>3</v>
      </c>
      <c r="K780" s="1" t="str">
        <f t="shared" si="36"/>
        <v>45-59</v>
      </c>
      <c r="L780" s="1" t="str">
        <f t="shared" si="37"/>
        <v>High</v>
      </c>
      <c r="M780" s="1" t="str">
        <f t="shared" si="38"/>
        <v>No</v>
      </c>
    </row>
    <row r="781" spans="1:13" x14ac:dyDescent="0.35">
      <c r="A781">
        <v>793</v>
      </c>
      <c r="B781">
        <v>32</v>
      </c>
      <c r="C781" t="s">
        <v>10</v>
      </c>
      <c r="D781" t="s">
        <v>40</v>
      </c>
      <c r="E781" t="s">
        <v>41</v>
      </c>
      <c r="F781">
        <v>12000</v>
      </c>
      <c r="G781">
        <v>55</v>
      </c>
      <c r="H781" t="s">
        <v>13</v>
      </c>
      <c r="I781" t="s">
        <v>14</v>
      </c>
      <c r="J781">
        <v>4</v>
      </c>
      <c r="K781" s="1" t="str">
        <f t="shared" si="36"/>
        <v>30-44</v>
      </c>
      <c r="L781" s="1" t="str">
        <f t="shared" si="37"/>
        <v>High</v>
      </c>
      <c r="M781" s="1" t="str">
        <f t="shared" si="38"/>
        <v>Yes</v>
      </c>
    </row>
    <row r="782" spans="1:13" x14ac:dyDescent="0.35">
      <c r="A782">
        <v>794</v>
      </c>
      <c r="B782">
        <v>55</v>
      </c>
      <c r="C782" t="s">
        <v>15</v>
      </c>
      <c r="D782" t="s">
        <v>42</v>
      </c>
      <c r="E782" t="s">
        <v>43</v>
      </c>
      <c r="F782">
        <v>6000</v>
      </c>
      <c r="G782">
        <v>56</v>
      </c>
      <c r="H782" t="s">
        <v>13</v>
      </c>
      <c r="I782" t="s">
        <v>14</v>
      </c>
      <c r="J782">
        <v>3</v>
      </c>
      <c r="K782" s="1" t="str">
        <f t="shared" si="36"/>
        <v>45-59</v>
      </c>
      <c r="L782" s="1" t="str">
        <f t="shared" si="37"/>
        <v>Medium</v>
      </c>
      <c r="M782" s="1" t="str">
        <f t="shared" si="38"/>
        <v>No</v>
      </c>
    </row>
    <row r="783" spans="1:13" x14ac:dyDescent="0.35">
      <c r="A783">
        <v>795</v>
      </c>
      <c r="B783">
        <v>65</v>
      </c>
      <c r="C783" t="s">
        <v>10</v>
      </c>
      <c r="D783" t="s">
        <v>44</v>
      </c>
      <c r="E783" t="s">
        <v>45</v>
      </c>
      <c r="F783">
        <v>4000</v>
      </c>
      <c r="G783">
        <v>57</v>
      </c>
      <c r="H783" t="s">
        <v>13</v>
      </c>
      <c r="I783" t="s">
        <v>19</v>
      </c>
      <c r="J783">
        <v>4</v>
      </c>
      <c r="K783" s="1" t="str">
        <f t="shared" si="36"/>
        <v>60-74</v>
      </c>
      <c r="L783" s="1" t="str">
        <f t="shared" si="37"/>
        <v>Medium</v>
      </c>
      <c r="M783" s="1" t="str">
        <f t="shared" si="38"/>
        <v>Yes</v>
      </c>
    </row>
    <row r="784" spans="1:13" x14ac:dyDescent="0.35">
      <c r="A784">
        <v>796</v>
      </c>
      <c r="B784">
        <v>55</v>
      </c>
      <c r="C784" t="s">
        <v>10</v>
      </c>
      <c r="D784" t="s">
        <v>11</v>
      </c>
      <c r="E784" t="s">
        <v>12</v>
      </c>
      <c r="F784">
        <v>15000</v>
      </c>
      <c r="G784">
        <v>58</v>
      </c>
      <c r="H784" t="s">
        <v>18</v>
      </c>
      <c r="I784" t="s">
        <v>14</v>
      </c>
      <c r="J784">
        <v>3</v>
      </c>
      <c r="K784" s="1" t="str">
        <f t="shared" si="36"/>
        <v>45-59</v>
      </c>
      <c r="L784" s="1" t="str">
        <f t="shared" si="37"/>
        <v>High</v>
      </c>
      <c r="M784" s="1" t="str">
        <f t="shared" si="38"/>
        <v>No</v>
      </c>
    </row>
    <row r="785" spans="1:13" x14ac:dyDescent="0.35">
      <c r="A785">
        <v>797</v>
      </c>
      <c r="B785">
        <v>62</v>
      </c>
      <c r="C785" t="s">
        <v>15</v>
      </c>
      <c r="D785" t="s">
        <v>16</v>
      </c>
      <c r="E785" t="s">
        <v>17</v>
      </c>
      <c r="F785">
        <v>2000</v>
      </c>
      <c r="G785">
        <v>56</v>
      </c>
      <c r="H785" t="s">
        <v>13</v>
      </c>
      <c r="I785" t="s">
        <v>19</v>
      </c>
      <c r="J785">
        <v>4</v>
      </c>
      <c r="K785" s="1" t="str">
        <f t="shared" si="36"/>
        <v>60-74</v>
      </c>
      <c r="L785" s="1" t="str">
        <f t="shared" si="37"/>
        <v>Medium</v>
      </c>
      <c r="M785" s="1" t="str">
        <f t="shared" si="38"/>
        <v>Yes</v>
      </c>
    </row>
    <row r="786" spans="1:13" x14ac:dyDescent="0.35">
      <c r="A786">
        <v>798</v>
      </c>
      <c r="B786">
        <v>35</v>
      </c>
      <c r="C786" t="s">
        <v>10</v>
      </c>
      <c r="D786" t="s">
        <v>20</v>
      </c>
      <c r="E786" t="s">
        <v>21</v>
      </c>
      <c r="F786">
        <v>500</v>
      </c>
      <c r="G786">
        <v>54</v>
      </c>
      <c r="H786" t="s">
        <v>18</v>
      </c>
      <c r="I786" t="s">
        <v>14</v>
      </c>
      <c r="J786">
        <v>5</v>
      </c>
      <c r="K786" s="1" t="str">
        <f t="shared" si="36"/>
        <v>30-44</v>
      </c>
      <c r="L786" s="1" t="str">
        <f t="shared" si="37"/>
        <v>Low</v>
      </c>
      <c r="M786" s="1" t="str">
        <f t="shared" si="38"/>
        <v>Yes</v>
      </c>
    </row>
    <row r="787" spans="1:13" x14ac:dyDescent="0.35">
      <c r="A787">
        <v>799</v>
      </c>
      <c r="B787">
        <v>78</v>
      </c>
      <c r="C787" t="s">
        <v>15</v>
      </c>
      <c r="D787" t="s">
        <v>22</v>
      </c>
      <c r="E787" t="s">
        <v>23</v>
      </c>
      <c r="F787">
        <v>10000</v>
      </c>
      <c r="G787">
        <v>61</v>
      </c>
      <c r="H787" t="s">
        <v>13</v>
      </c>
      <c r="I787" t="s">
        <v>19</v>
      </c>
      <c r="J787">
        <v>2</v>
      </c>
      <c r="K787" s="1" t="str">
        <f t="shared" si="36"/>
        <v>75+</v>
      </c>
      <c r="L787" s="1" t="str">
        <f t="shared" si="37"/>
        <v>High</v>
      </c>
      <c r="M787" s="1" t="str">
        <f t="shared" si="38"/>
        <v>No</v>
      </c>
    </row>
    <row r="788" spans="1:13" x14ac:dyDescent="0.35">
      <c r="A788">
        <v>800</v>
      </c>
      <c r="B788">
        <v>53</v>
      </c>
      <c r="C788" t="s">
        <v>10</v>
      </c>
      <c r="D788" t="s">
        <v>24</v>
      </c>
      <c r="E788" t="s">
        <v>25</v>
      </c>
      <c r="F788">
        <v>25000</v>
      </c>
      <c r="G788">
        <v>63</v>
      </c>
      <c r="H788" t="s">
        <v>18</v>
      </c>
      <c r="I788" t="s">
        <v>14</v>
      </c>
      <c r="J788">
        <v>4</v>
      </c>
      <c r="K788" s="1" t="str">
        <f t="shared" si="36"/>
        <v>45-59</v>
      </c>
      <c r="L788" s="1" t="str">
        <f t="shared" si="37"/>
        <v>High</v>
      </c>
      <c r="M788" s="1" t="str">
        <f t="shared" si="38"/>
        <v>Yes</v>
      </c>
    </row>
    <row r="789" spans="1:13" x14ac:dyDescent="0.35">
      <c r="A789">
        <v>801</v>
      </c>
      <c r="B789">
        <v>72</v>
      </c>
      <c r="C789" t="s">
        <v>15</v>
      </c>
      <c r="D789" t="s">
        <v>26</v>
      </c>
      <c r="E789" t="s">
        <v>27</v>
      </c>
      <c r="F789">
        <v>1000</v>
      </c>
      <c r="G789">
        <v>57</v>
      </c>
      <c r="H789" t="s">
        <v>13</v>
      </c>
      <c r="I789" t="s">
        <v>19</v>
      </c>
      <c r="J789">
        <v>4</v>
      </c>
      <c r="K789" s="1" t="str">
        <f t="shared" si="36"/>
        <v>60-74</v>
      </c>
      <c r="L789" s="1" t="str">
        <f t="shared" si="37"/>
        <v>Low</v>
      </c>
      <c r="M789" s="1" t="str">
        <f t="shared" si="38"/>
        <v>Yes</v>
      </c>
    </row>
    <row r="790" spans="1:13" x14ac:dyDescent="0.35">
      <c r="A790">
        <v>802</v>
      </c>
      <c r="B790">
        <v>60</v>
      </c>
      <c r="C790" t="s">
        <v>10</v>
      </c>
      <c r="D790" t="s">
        <v>28</v>
      </c>
      <c r="E790" t="s">
        <v>29</v>
      </c>
      <c r="F790">
        <v>8000</v>
      </c>
      <c r="G790">
        <v>59</v>
      </c>
      <c r="H790" t="s">
        <v>18</v>
      </c>
      <c r="I790" t="s">
        <v>14</v>
      </c>
      <c r="J790">
        <v>3</v>
      </c>
      <c r="K790" s="1" t="str">
        <f t="shared" si="36"/>
        <v>60-74</v>
      </c>
      <c r="L790" s="1" t="str">
        <f t="shared" si="37"/>
        <v>Medium</v>
      </c>
      <c r="M790" s="1" t="str">
        <f t="shared" si="38"/>
        <v>No</v>
      </c>
    </row>
    <row r="791" spans="1:13" x14ac:dyDescent="0.35">
      <c r="A791">
        <v>803</v>
      </c>
      <c r="B791">
        <v>45</v>
      </c>
      <c r="C791" t="s">
        <v>15</v>
      </c>
      <c r="D791" t="s">
        <v>30</v>
      </c>
      <c r="E791" t="s">
        <v>31</v>
      </c>
      <c r="F791">
        <v>3000</v>
      </c>
      <c r="G791">
        <v>59</v>
      </c>
      <c r="H791" t="s">
        <v>13</v>
      </c>
      <c r="I791" t="s">
        <v>14</v>
      </c>
      <c r="J791">
        <v>4</v>
      </c>
      <c r="K791" s="1" t="str">
        <f t="shared" si="36"/>
        <v>45-59</v>
      </c>
      <c r="L791" s="1" t="str">
        <f t="shared" si="37"/>
        <v>Medium</v>
      </c>
      <c r="M791" s="1" t="str">
        <f t="shared" si="38"/>
        <v>Yes</v>
      </c>
    </row>
    <row r="792" spans="1:13" x14ac:dyDescent="0.35">
      <c r="A792">
        <v>804</v>
      </c>
      <c r="B792">
        <v>75</v>
      </c>
      <c r="C792" t="s">
        <v>10</v>
      </c>
      <c r="D792" t="s">
        <v>32</v>
      </c>
      <c r="E792" t="s">
        <v>33</v>
      </c>
      <c r="F792">
        <v>18000</v>
      </c>
      <c r="G792">
        <v>61</v>
      </c>
      <c r="H792" t="s">
        <v>18</v>
      </c>
      <c r="I792" t="s">
        <v>19</v>
      </c>
      <c r="J792">
        <v>2</v>
      </c>
      <c r="K792" s="1" t="str">
        <f t="shared" si="36"/>
        <v>75+</v>
      </c>
      <c r="L792" s="1" t="str">
        <f t="shared" si="37"/>
        <v>High</v>
      </c>
      <c r="M792" s="1" t="str">
        <f t="shared" si="38"/>
        <v>No</v>
      </c>
    </row>
    <row r="793" spans="1:13" x14ac:dyDescent="0.35">
      <c r="A793">
        <v>805</v>
      </c>
      <c r="B793">
        <v>28</v>
      </c>
      <c r="C793" t="s">
        <v>15</v>
      </c>
      <c r="D793" t="s">
        <v>34</v>
      </c>
      <c r="E793" t="s">
        <v>35</v>
      </c>
      <c r="F793">
        <v>100</v>
      </c>
      <c r="G793">
        <v>54</v>
      </c>
      <c r="H793" t="s">
        <v>13</v>
      </c>
      <c r="I793" t="s">
        <v>14</v>
      </c>
      <c r="J793">
        <v>5</v>
      </c>
      <c r="K793" s="1" t="str">
        <f t="shared" si="36"/>
        <v>18-29</v>
      </c>
      <c r="L793" s="1" t="str">
        <f t="shared" si="37"/>
        <v>Low</v>
      </c>
      <c r="M793" s="1" t="str">
        <f t="shared" si="38"/>
        <v>Yes</v>
      </c>
    </row>
    <row r="794" spans="1:13" x14ac:dyDescent="0.35">
      <c r="A794">
        <v>806</v>
      </c>
      <c r="B794">
        <v>52</v>
      </c>
      <c r="C794" t="s">
        <v>10</v>
      </c>
      <c r="D794" t="s">
        <v>36</v>
      </c>
      <c r="E794" t="s">
        <v>37</v>
      </c>
      <c r="F794">
        <v>800</v>
      </c>
      <c r="G794">
        <v>55</v>
      </c>
      <c r="H794" t="s">
        <v>13</v>
      </c>
      <c r="I794" t="s">
        <v>19</v>
      </c>
      <c r="J794">
        <v>4</v>
      </c>
      <c r="K794" s="1" t="str">
        <f t="shared" si="36"/>
        <v>45-59</v>
      </c>
      <c r="L794" s="1" t="str">
        <f t="shared" si="37"/>
        <v>Low</v>
      </c>
      <c r="M794" s="1" t="str">
        <f t="shared" si="38"/>
        <v>Yes</v>
      </c>
    </row>
    <row r="795" spans="1:13" x14ac:dyDescent="0.35">
      <c r="A795">
        <v>807</v>
      </c>
      <c r="B795">
        <v>67</v>
      </c>
      <c r="C795" t="s">
        <v>15</v>
      </c>
      <c r="D795" t="s">
        <v>38</v>
      </c>
      <c r="E795" t="s">
        <v>39</v>
      </c>
      <c r="F795">
        <v>20000</v>
      </c>
      <c r="G795">
        <v>62</v>
      </c>
      <c r="H795" t="s">
        <v>13</v>
      </c>
      <c r="I795" t="s">
        <v>14</v>
      </c>
      <c r="J795">
        <v>3</v>
      </c>
      <c r="K795" s="1" t="str">
        <f t="shared" si="36"/>
        <v>60-74</v>
      </c>
      <c r="L795" s="1" t="str">
        <f t="shared" si="37"/>
        <v>High</v>
      </c>
      <c r="M795" s="1" t="str">
        <f t="shared" si="38"/>
        <v>No</v>
      </c>
    </row>
    <row r="796" spans="1:13" x14ac:dyDescent="0.35">
      <c r="A796">
        <v>808</v>
      </c>
      <c r="B796">
        <v>35</v>
      </c>
      <c r="C796" t="s">
        <v>10</v>
      </c>
      <c r="D796" t="s">
        <v>40</v>
      </c>
      <c r="E796" t="s">
        <v>41</v>
      </c>
      <c r="F796">
        <v>12000</v>
      </c>
      <c r="G796">
        <v>56</v>
      </c>
      <c r="H796" t="s">
        <v>13</v>
      </c>
      <c r="I796" t="s">
        <v>14</v>
      </c>
      <c r="J796">
        <v>4</v>
      </c>
      <c r="K796" s="1" t="str">
        <f t="shared" si="36"/>
        <v>30-44</v>
      </c>
      <c r="L796" s="1" t="str">
        <f t="shared" si="37"/>
        <v>High</v>
      </c>
      <c r="M796" s="1" t="str">
        <f t="shared" si="38"/>
        <v>Yes</v>
      </c>
    </row>
    <row r="797" spans="1:13" x14ac:dyDescent="0.35">
      <c r="A797">
        <v>809</v>
      </c>
      <c r="B797">
        <v>50</v>
      </c>
      <c r="C797" t="s">
        <v>15</v>
      </c>
      <c r="D797" t="s">
        <v>42</v>
      </c>
      <c r="E797" t="s">
        <v>43</v>
      </c>
      <c r="F797">
        <v>6000</v>
      </c>
      <c r="G797">
        <v>57</v>
      </c>
      <c r="H797" t="s">
        <v>13</v>
      </c>
      <c r="I797" t="s">
        <v>14</v>
      </c>
      <c r="J797">
        <v>3</v>
      </c>
      <c r="K797" s="1" t="str">
        <f t="shared" si="36"/>
        <v>45-59</v>
      </c>
      <c r="L797" s="1" t="str">
        <f t="shared" si="37"/>
        <v>Medium</v>
      </c>
      <c r="M797" s="1" t="str">
        <f t="shared" si="38"/>
        <v>No</v>
      </c>
    </row>
    <row r="798" spans="1:13" x14ac:dyDescent="0.35">
      <c r="A798">
        <v>810</v>
      </c>
      <c r="B798">
        <v>60</v>
      </c>
      <c r="C798" t="s">
        <v>10</v>
      </c>
      <c r="D798" t="s">
        <v>44</v>
      </c>
      <c r="E798" t="s">
        <v>45</v>
      </c>
      <c r="F798">
        <v>4000</v>
      </c>
      <c r="G798">
        <v>58</v>
      </c>
      <c r="H798" t="s">
        <v>13</v>
      </c>
      <c r="I798" t="s">
        <v>19</v>
      </c>
      <c r="J798">
        <v>4</v>
      </c>
      <c r="K798" s="1" t="str">
        <f t="shared" si="36"/>
        <v>60-74</v>
      </c>
      <c r="L798" s="1" t="str">
        <f t="shared" si="37"/>
        <v>Medium</v>
      </c>
      <c r="M798" s="1" t="str">
        <f t="shared" si="38"/>
        <v>Yes</v>
      </c>
    </row>
    <row r="799" spans="1:13" x14ac:dyDescent="0.35">
      <c r="A799">
        <v>811</v>
      </c>
      <c r="B799">
        <v>48</v>
      </c>
      <c r="C799" t="s">
        <v>10</v>
      </c>
      <c r="D799" t="s">
        <v>11</v>
      </c>
      <c r="E799" t="s">
        <v>12</v>
      </c>
      <c r="F799">
        <v>15000</v>
      </c>
      <c r="G799">
        <v>59</v>
      </c>
      <c r="H799" t="s">
        <v>18</v>
      </c>
      <c r="I799" t="s">
        <v>14</v>
      </c>
      <c r="J799">
        <v>4</v>
      </c>
      <c r="K799" s="1" t="str">
        <f t="shared" si="36"/>
        <v>45-59</v>
      </c>
      <c r="L799" s="1" t="str">
        <f t="shared" si="37"/>
        <v>High</v>
      </c>
      <c r="M799" s="1" t="str">
        <f t="shared" si="38"/>
        <v>Yes</v>
      </c>
    </row>
    <row r="800" spans="1:13" x14ac:dyDescent="0.35">
      <c r="A800">
        <v>812</v>
      </c>
      <c r="B800">
        <v>65</v>
      </c>
      <c r="C800" t="s">
        <v>15</v>
      </c>
      <c r="D800" t="s">
        <v>16</v>
      </c>
      <c r="E800" t="s">
        <v>17</v>
      </c>
      <c r="F800">
        <v>2000</v>
      </c>
      <c r="G800">
        <v>57</v>
      </c>
      <c r="H800" t="s">
        <v>13</v>
      </c>
      <c r="I800" t="s">
        <v>19</v>
      </c>
      <c r="J800">
        <v>3</v>
      </c>
      <c r="K800" s="1" t="str">
        <f t="shared" si="36"/>
        <v>60-74</v>
      </c>
      <c r="L800" s="1" t="str">
        <f t="shared" si="37"/>
        <v>Medium</v>
      </c>
      <c r="M800" s="1" t="str">
        <f t="shared" si="38"/>
        <v>No</v>
      </c>
    </row>
    <row r="801" spans="1:13" x14ac:dyDescent="0.35">
      <c r="A801">
        <v>813</v>
      </c>
      <c r="B801">
        <v>30</v>
      </c>
      <c r="C801" t="s">
        <v>10</v>
      </c>
      <c r="D801" t="s">
        <v>20</v>
      </c>
      <c r="E801" t="s">
        <v>21</v>
      </c>
      <c r="F801">
        <v>500</v>
      </c>
      <c r="G801">
        <v>55</v>
      </c>
      <c r="H801" t="s">
        <v>13</v>
      </c>
      <c r="I801" t="s">
        <v>14</v>
      </c>
      <c r="J801">
        <v>5</v>
      </c>
      <c r="K801" s="1" t="str">
        <f t="shared" si="36"/>
        <v>30-44</v>
      </c>
      <c r="L801" s="1" t="str">
        <f t="shared" si="37"/>
        <v>Low</v>
      </c>
      <c r="M801" s="1" t="str">
        <f t="shared" si="38"/>
        <v>Yes</v>
      </c>
    </row>
    <row r="802" spans="1:13" x14ac:dyDescent="0.35">
      <c r="A802">
        <v>814</v>
      </c>
      <c r="B802">
        <v>70</v>
      </c>
      <c r="C802" t="s">
        <v>15</v>
      </c>
      <c r="D802" t="s">
        <v>22</v>
      </c>
      <c r="E802" t="s">
        <v>23</v>
      </c>
      <c r="F802">
        <v>10000</v>
      </c>
      <c r="G802">
        <v>62</v>
      </c>
      <c r="H802" t="s">
        <v>18</v>
      </c>
      <c r="I802" t="s">
        <v>19</v>
      </c>
      <c r="J802">
        <v>2</v>
      </c>
      <c r="K802" s="1" t="str">
        <f t="shared" si="36"/>
        <v>60-74</v>
      </c>
      <c r="L802" s="1" t="str">
        <f t="shared" si="37"/>
        <v>High</v>
      </c>
      <c r="M802" s="1" t="str">
        <f t="shared" si="38"/>
        <v>No</v>
      </c>
    </row>
    <row r="803" spans="1:13" x14ac:dyDescent="0.35">
      <c r="A803">
        <v>815</v>
      </c>
      <c r="B803">
        <v>55</v>
      </c>
      <c r="C803" t="s">
        <v>10</v>
      </c>
      <c r="D803" t="s">
        <v>24</v>
      </c>
      <c r="E803" t="s">
        <v>25</v>
      </c>
      <c r="F803">
        <v>25000</v>
      </c>
      <c r="G803">
        <v>64</v>
      </c>
      <c r="H803" t="s">
        <v>13</v>
      </c>
      <c r="I803" t="s">
        <v>14</v>
      </c>
      <c r="J803">
        <v>4</v>
      </c>
      <c r="K803" s="1" t="str">
        <f t="shared" si="36"/>
        <v>45-59</v>
      </c>
      <c r="L803" s="1" t="str">
        <f t="shared" si="37"/>
        <v>High</v>
      </c>
      <c r="M803" s="1" t="str">
        <f t="shared" si="38"/>
        <v>Yes</v>
      </c>
    </row>
    <row r="804" spans="1:13" x14ac:dyDescent="0.35">
      <c r="A804">
        <v>816</v>
      </c>
      <c r="B804">
        <v>68</v>
      </c>
      <c r="C804" t="s">
        <v>15</v>
      </c>
      <c r="D804" t="s">
        <v>26</v>
      </c>
      <c r="E804" t="s">
        <v>27</v>
      </c>
      <c r="F804">
        <v>1000</v>
      </c>
      <c r="G804">
        <v>58</v>
      </c>
      <c r="H804" t="s">
        <v>13</v>
      </c>
      <c r="I804" t="s">
        <v>19</v>
      </c>
      <c r="J804">
        <v>4</v>
      </c>
      <c r="K804" s="1" t="str">
        <f t="shared" si="36"/>
        <v>60-74</v>
      </c>
      <c r="L804" s="1" t="str">
        <f t="shared" si="37"/>
        <v>Low</v>
      </c>
      <c r="M804" s="1" t="str">
        <f t="shared" si="38"/>
        <v>Yes</v>
      </c>
    </row>
    <row r="805" spans="1:13" x14ac:dyDescent="0.35">
      <c r="A805">
        <v>817</v>
      </c>
      <c r="B805">
        <v>45</v>
      </c>
      <c r="C805" t="s">
        <v>10</v>
      </c>
      <c r="D805" t="s">
        <v>28</v>
      </c>
      <c r="E805" t="s">
        <v>29</v>
      </c>
      <c r="F805">
        <v>8000</v>
      </c>
      <c r="G805">
        <v>60</v>
      </c>
      <c r="H805" t="s">
        <v>13</v>
      </c>
      <c r="I805" t="s">
        <v>14</v>
      </c>
      <c r="J805">
        <v>3</v>
      </c>
      <c r="K805" s="1" t="str">
        <f t="shared" si="36"/>
        <v>45-59</v>
      </c>
      <c r="L805" s="1" t="str">
        <f t="shared" si="37"/>
        <v>Medium</v>
      </c>
      <c r="M805" s="1" t="str">
        <f t="shared" si="38"/>
        <v>No</v>
      </c>
    </row>
    <row r="806" spans="1:13" x14ac:dyDescent="0.35">
      <c r="A806">
        <v>818</v>
      </c>
      <c r="B806">
        <v>40</v>
      </c>
      <c r="C806" t="s">
        <v>15</v>
      </c>
      <c r="D806" t="s">
        <v>30</v>
      </c>
      <c r="E806" t="s">
        <v>31</v>
      </c>
      <c r="F806">
        <v>3000</v>
      </c>
      <c r="G806">
        <v>60</v>
      </c>
      <c r="H806" t="s">
        <v>13</v>
      </c>
      <c r="I806" t="s">
        <v>14</v>
      </c>
      <c r="J806">
        <v>4</v>
      </c>
      <c r="K806" s="1" t="str">
        <f t="shared" si="36"/>
        <v>30-44</v>
      </c>
      <c r="L806" s="1" t="str">
        <f t="shared" si="37"/>
        <v>Medium</v>
      </c>
      <c r="M806" s="1" t="str">
        <f t="shared" si="38"/>
        <v>Yes</v>
      </c>
    </row>
    <row r="807" spans="1:13" x14ac:dyDescent="0.35">
      <c r="A807">
        <v>819</v>
      </c>
      <c r="B807">
        <v>78</v>
      </c>
      <c r="C807" t="s">
        <v>10</v>
      </c>
      <c r="D807" t="s">
        <v>32</v>
      </c>
      <c r="E807" t="s">
        <v>33</v>
      </c>
      <c r="F807">
        <v>18000</v>
      </c>
      <c r="G807">
        <v>62</v>
      </c>
      <c r="H807" t="s">
        <v>18</v>
      </c>
      <c r="I807" t="s">
        <v>19</v>
      </c>
      <c r="J807">
        <v>2</v>
      </c>
      <c r="K807" s="1" t="str">
        <f t="shared" si="36"/>
        <v>75+</v>
      </c>
      <c r="L807" s="1" t="str">
        <f t="shared" si="37"/>
        <v>High</v>
      </c>
      <c r="M807" s="1" t="str">
        <f t="shared" si="38"/>
        <v>No</v>
      </c>
    </row>
    <row r="808" spans="1:13" x14ac:dyDescent="0.35">
      <c r="A808">
        <v>820</v>
      </c>
      <c r="B808">
        <v>25</v>
      </c>
      <c r="C808" t="s">
        <v>15</v>
      </c>
      <c r="D808" t="s">
        <v>34</v>
      </c>
      <c r="E808" t="s">
        <v>35</v>
      </c>
      <c r="F808">
        <v>100</v>
      </c>
      <c r="G808">
        <v>55</v>
      </c>
      <c r="H808" t="s">
        <v>13</v>
      </c>
      <c r="I808" t="s">
        <v>14</v>
      </c>
      <c r="J808">
        <v>5</v>
      </c>
      <c r="K808" s="1" t="str">
        <f t="shared" si="36"/>
        <v>18-29</v>
      </c>
      <c r="L808" s="1" t="str">
        <f t="shared" si="37"/>
        <v>Low</v>
      </c>
      <c r="M808" s="1" t="str">
        <f t="shared" si="38"/>
        <v>Yes</v>
      </c>
    </row>
    <row r="809" spans="1:13" x14ac:dyDescent="0.35">
      <c r="A809">
        <v>821</v>
      </c>
      <c r="B809">
        <v>52</v>
      </c>
      <c r="C809" t="s">
        <v>10</v>
      </c>
      <c r="D809" t="s">
        <v>36</v>
      </c>
      <c r="E809" t="s">
        <v>37</v>
      </c>
      <c r="F809">
        <v>800</v>
      </c>
      <c r="G809">
        <v>56</v>
      </c>
      <c r="H809" t="s">
        <v>13</v>
      </c>
      <c r="I809" t="s">
        <v>19</v>
      </c>
      <c r="J809">
        <v>4</v>
      </c>
      <c r="K809" s="1" t="str">
        <f t="shared" si="36"/>
        <v>45-59</v>
      </c>
      <c r="L809" s="1" t="str">
        <f t="shared" si="37"/>
        <v>Low</v>
      </c>
      <c r="M809" s="1" t="str">
        <f t="shared" si="38"/>
        <v>Yes</v>
      </c>
    </row>
    <row r="810" spans="1:13" x14ac:dyDescent="0.35">
      <c r="A810">
        <v>822</v>
      </c>
      <c r="B810">
        <v>58</v>
      </c>
      <c r="C810" t="s">
        <v>15</v>
      </c>
      <c r="D810" t="s">
        <v>38</v>
      </c>
      <c r="E810" t="s">
        <v>39</v>
      </c>
      <c r="F810">
        <v>20000</v>
      </c>
      <c r="G810">
        <v>63</v>
      </c>
      <c r="H810" t="s">
        <v>13</v>
      </c>
      <c r="I810" t="s">
        <v>14</v>
      </c>
      <c r="J810">
        <v>3</v>
      </c>
      <c r="K810" s="1" t="str">
        <f t="shared" si="36"/>
        <v>45-59</v>
      </c>
      <c r="L810" s="1" t="str">
        <f t="shared" si="37"/>
        <v>High</v>
      </c>
      <c r="M810" s="1" t="str">
        <f t="shared" si="38"/>
        <v>No</v>
      </c>
    </row>
    <row r="811" spans="1:13" x14ac:dyDescent="0.35">
      <c r="A811">
        <v>823</v>
      </c>
      <c r="B811">
        <v>32</v>
      </c>
      <c r="C811" t="s">
        <v>10</v>
      </c>
      <c r="D811" t="s">
        <v>40</v>
      </c>
      <c r="E811" t="s">
        <v>41</v>
      </c>
      <c r="F811">
        <v>12000</v>
      </c>
      <c r="G811">
        <v>57</v>
      </c>
      <c r="H811" t="s">
        <v>13</v>
      </c>
      <c r="I811" t="s">
        <v>14</v>
      </c>
      <c r="J811">
        <v>4</v>
      </c>
      <c r="K811" s="1" t="str">
        <f t="shared" si="36"/>
        <v>30-44</v>
      </c>
      <c r="L811" s="1" t="str">
        <f t="shared" si="37"/>
        <v>High</v>
      </c>
      <c r="M811" s="1" t="str">
        <f t="shared" si="38"/>
        <v>Yes</v>
      </c>
    </row>
    <row r="812" spans="1:13" x14ac:dyDescent="0.35">
      <c r="A812">
        <v>824</v>
      </c>
      <c r="B812">
        <v>55</v>
      </c>
      <c r="C812" t="s">
        <v>15</v>
      </c>
      <c r="D812" t="s">
        <v>42</v>
      </c>
      <c r="E812" t="s">
        <v>43</v>
      </c>
      <c r="F812">
        <v>6000</v>
      </c>
      <c r="G812">
        <v>58</v>
      </c>
      <c r="H812" t="s">
        <v>13</v>
      </c>
      <c r="I812" t="s">
        <v>14</v>
      </c>
      <c r="J812">
        <v>3</v>
      </c>
      <c r="K812" s="1" t="str">
        <f t="shared" si="36"/>
        <v>45-59</v>
      </c>
      <c r="L812" s="1" t="str">
        <f t="shared" si="37"/>
        <v>Medium</v>
      </c>
      <c r="M812" s="1" t="str">
        <f t="shared" si="38"/>
        <v>No</v>
      </c>
    </row>
    <row r="813" spans="1:13" x14ac:dyDescent="0.35">
      <c r="A813">
        <v>825</v>
      </c>
      <c r="B813">
        <v>65</v>
      </c>
      <c r="C813" t="s">
        <v>10</v>
      </c>
      <c r="D813" t="s">
        <v>44</v>
      </c>
      <c r="E813" t="s">
        <v>45</v>
      </c>
      <c r="F813">
        <v>4000</v>
      </c>
      <c r="G813">
        <v>59</v>
      </c>
      <c r="H813" t="s">
        <v>13</v>
      </c>
      <c r="I813" t="s">
        <v>19</v>
      </c>
      <c r="J813">
        <v>4</v>
      </c>
      <c r="K813" s="1" t="str">
        <f t="shared" si="36"/>
        <v>60-74</v>
      </c>
      <c r="L813" s="1" t="str">
        <f t="shared" si="37"/>
        <v>Medium</v>
      </c>
      <c r="M813" s="1" t="str">
        <f t="shared" si="38"/>
        <v>Yes</v>
      </c>
    </row>
    <row r="814" spans="1:13" x14ac:dyDescent="0.35">
      <c r="A814">
        <v>826</v>
      </c>
      <c r="B814">
        <v>55</v>
      </c>
      <c r="C814" t="s">
        <v>10</v>
      </c>
      <c r="D814" t="s">
        <v>11</v>
      </c>
      <c r="E814" t="s">
        <v>12</v>
      </c>
      <c r="F814">
        <v>15000</v>
      </c>
      <c r="G814">
        <v>60</v>
      </c>
      <c r="H814" t="s">
        <v>18</v>
      </c>
      <c r="I814" t="s">
        <v>14</v>
      </c>
      <c r="J814">
        <v>3</v>
      </c>
      <c r="K814" s="1" t="str">
        <f t="shared" si="36"/>
        <v>45-59</v>
      </c>
      <c r="L814" s="1" t="str">
        <f t="shared" si="37"/>
        <v>High</v>
      </c>
      <c r="M814" s="1" t="str">
        <f t="shared" si="38"/>
        <v>No</v>
      </c>
    </row>
    <row r="815" spans="1:13" x14ac:dyDescent="0.35">
      <c r="A815">
        <v>827</v>
      </c>
      <c r="B815">
        <v>62</v>
      </c>
      <c r="C815" t="s">
        <v>15</v>
      </c>
      <c r="D815" t="s">
        <v>16</v>
      </c>
      <c r="E815" t="s">
        <v>17</v>
      </c>
      <c r="F815">
        <v>2000</v>
      </c>
      <c r="G815">
        <v>58</v>
      </c>
      <c r="H815" t="s">
        <v>13</v>
      </c>
      <c r="I815" t="s">
        <v>19</v>
      </c>
      <c r="J815">
        <v>4</v>
      </c>
      <c r="K815" s="1" t="str">
        <f t="shared" si="36"/>
        <v>60-74</v>
      </c>
      <c r="L815" s="1" t="str">
        <f t="shared" si="37"/>
        <v>Medium</v>
      </c>
      <c r="M815" s="1" t="str">
        <f t="shared" si="38"/>
        <v>Yes</v>
      </c>
    </row>
    <row r="816" spans="1:13" x14ac:dyDescent="0.35">
      <c r="A816">
        <v>828</v>
      </c>
      <c r="B816">
        <v>35</v>
      </c>
      <c r="C816" t="s">
        <v>10</v>
      </c>
      <c r="D816" t="s">
        <v>20</v>
      </c>
      <c r="E816" t="s">
        <v>21</v>
      </c>
      <c r="F816">
        <v>500</v>
      </c>
      <c r="G816">
        <v>56</v>
      </c>
      <c r="H816" t="s">
        <v>18</v>
      </c>
      <c r="I816" t="s">
        <v>14</v>
      </c>
      <c r="J816">
        <v>5</v>
      </c>
      <c r="K816" s="1" t="str">
        <f t="shared" si="36"/>
        <v>30-44</v>
      </c>
      <c r="L816" s="1" t="str">
        <f t="shared" si="37"/>
        <v>Low</v>
      </c>
      <c r="M816" s="1" t="str">
        <f t="shared" si="38"/>
        <v>Yes</v>
      </c>
    </row>
    <row r="817" spans="1:13" x14ac:dyDescent="0.35">
      <c r="A817">
        <v>829</v>
      </c>
      <c r="B817">
        <v>78</v>
      </c>
      <c r="C817" t="s">
        <v>15</v>
      </c>
      <c r="D817" t="s">
        <v>22</v>
      </c>
      <c r="E817" t="s">
        <v>23</v>
      </c>
      <c r="F817">
        <v>10000</v>
      </c>
      <c r="G817">
        <v>63</v>
      </c>
      <c r="H817" t="s">
        <v>13</v>
      </c>
      <c r="I817" t="s">
        <v>19</v>
      </c>
      <c r="J817">
        <v>2</v>
      </c>
      <c r="K817" s="1" t="str">
        <f t="shared" si="36"/>
        <v>75+</v>
      </c>
      <c r="L817" s="1" t="str">
        <f t="shared" si="37"/>
        <v>High</v>
      </c>
      <c r="M817" s="1" t="str">
        <f t="shared" si="38"/>
        <v>No</v>
      </c>
    </row>
    <row r="818" spans="1:13" x14ac:dyDescent="0.35">
      <c r="A818">
        <v>830</v>
      </c>
      <c r="B818">
        <v>53</v>
      </c>
      <c r="C818" t="s">
        <v>10</v>
      </c>
      <c r="D818" t="s">
        <v>24</v>
      </c>
      <c r="E818" t="s">
        <v>25</v>
      </c>
      <c r="F818">
        <v>25000</v>
      </c>
      <c r="G818">
        <v>65</v>
      </c>
      <c r="H818" t="s">
        <v>18</v>
      </c>
      <c r="I818" t="s">
        <v>14</v>
      </c>
      <c r="J818">
        <v>4</v>
      </c>
      <c r="K818" s="1" t="str">
        <f t="shared" si="36"/>
        <v>45-59</v>
      </c>
      <c r="L818" s="1" t="str">
        <f t="shared" si="37"/>
        <v>High</v>
      </c>
      <c r="M818" s="1" t="str">
        <f t="shared" si="38"/>
        <v>Yes</v>
      </c>
    </row>
    <row r="819" spans="1:13" x14ac:dyDescent="0.35">
      <c r="A819">
        <v>831</v>
      </c>
      <c r="B819">
        <v>72</v>
      </c>
      <c r="C819" t="s">
        <v>15</v>
      </c>
      <c r="D819" t="s">
        <v>26</v>
      </c>
      <c r="E819" t="s">
        <v>27</v>
      </c>
      <c r="F819">
        <v>1000</v>
      </c>
      <c r="G819">
        <v>59</v>
      </c>
      <c r="H819" t="s">
        <v>13</v>
      </c>
      <c r="I819" t="s">
        <v>19</v>
      </c>
      <c r="J819">
        <v>4</v>
      </c>
      <c r="K819" s="1" t="str">
        <f t="shared" si="36"/>
        <v>60-74</v>
      </c>
      <c r="L819" s="1" t="str">
        <f t="shared" si="37"/>
        <v>Low</v>
      </c>
      <c r="M819" s="1" t="str">
        <f t="shared" si="38"/>
        <v>Yes</v>
      </c>
    </row>
    <row r="820" spans="1:13" x14ac:dyDescent="0.35">
      <c r="A820">
        <v>832</v>
      </c>
      <c r="B820">
        <v>60</v>
      </c>
      <c r="C820" t="s">
        <v>10</v>
      </c>
      <c r="D820" t="s">
        <v>28</v>
      </c>
      <c r="E820" t="s">
        <v>29</v>
      </c>
      <c r="F820">
        <v>8000</v>
      </c>
      <c r="G820">
        <v>61</v>
      </c>
      <c r="H820" t="s">
        <v>18</v>
      </c>
      <c r="I820" t="s">
        <v>14</v>
      </c>
      <c r="J820">
        <v>3</v>
      </c>
      <c r="K820" s="1" t="str">
        <f t="shared" si="36"/>
        <v>60-74</v>
      </c>
      <c r="L820" s="1" t="str">
        <f t="shared" si="37"/>
        <v>Medium</v>
      </c>
      <c r="M820" s="1" t="str">
        <f t="shared" si="38"/>
        <v>No</v>
      </c>
    </row>
    <row r="821" spans="1:13" x14ac:dyDescent="0.35">
      <c r="A821">
        <v>833</v>
      </c>
      <c r="B821">
        <v>45</v>
      </c>
      <c r="C821" t="s">
        <v>15</v>
      </c>
      <c r="D821" t="s">
        <v>30</v>
      </c>
      <c r="E821" t="s">
        <v>31</v>
      </c>
      <c r="F821">
        <v>3000</v>
      </c>
      <c r="G821">
        <v>61</v>
      </c>
      <c r="H821" t="s">
        <v>13</v>
      </c>
      <c r="I821" t="s">
        <v>14</v>
      </c>
      <c r="J821">
        <v>4</v>
      </c>
      <c r="K821" s="1" t="str">
        <f t="shared" si="36"/>
        <v>45-59</v>
      </c>
      <c r="L821" s="1" t="str">
        <f t="shared" si="37"/>
        <v>Medium</v>
      </c>
      <c r="M821" s="1" t="str">
        <f t="shared" si="38"/>
        <v>Yes</v>
      </c>
    </row>
    <row r="822" spans="1:13" x14ac:dyDescent="0.35">
      <c r="A822">
        <v>834</v>
      </c>
      <c r="B822">
        <v>75</v>
      </c>
      <c r="C822" t="s">
        <v>10</v>
      </c>
      <c r="D822" t="s">
        <v>32</v>
      </c>
      <c r="E822" t="s">
        <v>33</v>
      </c>
      <c r="F822">
        <v>18000</v>
      </c>
      <c r="G822">
        <v>63</v>
      </c>
      <c r="H822" t="s">
        <v>18</v>
      </c>
      <c r="I822" t="s">
        <v>19</v>
      </c>
      <c r="J822">
        <v>2</v>
      </c>
      <c r="K822" s="1" t="str">
        <f t="shared" si="36"/>
        <v>75+</v>
      </c>
      <c r="L822" s="1" t="str">
        <f t="shared" si="37"/>
        <v>High</v>
      </c>
      <c r="M822" s="1" t="str">
        <f t="shared" si="38"/>
        <v>No</v>
      </c>
    </row>
    <row r="823" spans="1:13" x14ac:dyDescent="0.35">
      <c r="A823">
        <v>835</v>
      </c>
      <c r="B823">
        <v>28</v>
      </c>
      <c r="C823" t="s">
        <v>15</v>
      </c>
      <c r="D823" t="s">
        <v>34</v>
      </c>
      <c r="E823" t="s">
        <v>35</v>
      </c>
      <c r="F823">
        <v>100</v>
      </c>
      <c r="G823">
        <v>56</v>
      </c>
      <c r="H823" t="s">
        <v>13</v>
      </c>
      <c r="I823" t="s">
        <v>14</v>
      </c>
      <c r="J823">
        <v>5</v>
      </c>
      <c r="K823" s="1" t="str">
        <f t="shared" si="36"/>
        <v>18-29</v>
      </c>
      <c r="L823" s="1" t="str">
        <f t="shared" si="37"/>
        <v>Low</v>
      </c>
      <c r="M823" s="1" t="str">
        <f t="shared" si="38"/>
        <v>Yes</v>
      </c>
    </row>
    <row r="824" spans="1:13" x14ac:dyDescent="0.35">
      <c r="A824">
        <v>836</v>
      </c>
      <c r="B824">
        <v>52</v>
      </c>
      <c r="C824" t="s">
        <v>10</v>
      </c>
      <c r="D824" t="s">
        <v>36</v>
      </c>
      <c r="E824" t="s">
        <v>37</v>
      </c>
      <c r="F824">
        <v>800</v>
      </c>
      <c r="G824">
        <v>57</v>
      </c>
      <c r="H824" t="s">
        <v>13</v>
      </c>
      <c r="I824" t="s">
        <v>19</v>
      </c>
      <c r="J824">
        <v>4</v>
      </c>
      <c r="K824" s="1" t="str">
        <f t="shared" si="36"/>
        <v>45-59</v>
      </c>
      <c r="L824" s="1" t="str">
        <f t="shared" si="37"/>
        <v>Low</v>
      </c>
      <c r="M824" s="1" t="str">
        <f t="shared" si="38"/>
        <v>Yes</v>
      </c>
    </row>
    <row r="825" spans="1:13" x14ac:dyDescent="0.35">
      <c r="A825">
        <v>837</v>
      </c>
      <c r="B825">
        <v>67</v>
      </c>
      <c r="C825" t="s">
        <v>15</v>
      </c>
      <c r="D825" t="s">
        <v>38</v>
      </c>
      <c r="E825" t="s">
        <v>39</v>
      </c>
      <c r="F825">
        <v>20000</v>
      </c>
      <c r="G825">
        <v>64</v>
      </c>
      <c r="H825" t="s">
        <v>13</v>
      </c>
      <c r="I825" t="s">
        <v>14</v>
      </c>
      <c r="J825">
        <v>3</v>
      </c>
      <c r="K825" s="1" t="str">
        <f t="shared" si="36"/>
        <v>60-74</v>
      </c>
      <c r="L825" s="1" t="str">
        <f t="shared" si="37"/>
        <v>High</v>
      </c>
      <c r="M825" s="1" t="str">
        <f t="shared" si="38"/>
        <v>No</v>
      </c>
    </row>
    <row r="826" spans="1:13" x14ac:dyDescent="0.35">
      <c r="A826">
        <v>838</v>
      </c>
      <c r="B826">
        <v>35</v>
      </c>
      <c r="C826" t="s">
        <v>10</v>
      </c>
      <c r="D826" t="s">
        <v>40</v>
      </c>
      <c r="E826" t="s">
        <v>41</v>
      </c>
      <c r="F826">
        <v>12000</v>
      </c>
      <c r="G826">
        <v>58</v>
      </c>
      <c r="H826" t="s">
        <v>13</v>
      </c>
      <c r="I826" t="s">
        <v>14</v>
      </c>
      <c r="J826">
        <v>4</v>
      </c>
      <c r="K826" s="1" t="str">
        <f t="shared" si="36"/>
        <v>30-44</v>
      </c>
      <c r="L826" s="1" t="str">
        <f t="shared" si="37"/>
        <v>High</v>
      </c>
      <c r="M826" s="1" t="str">
        <f t="shared" si="38"/>
        <v>Yes</v>
      </c>
    </row>
    <row r="827" spans="1:13" x14ac:dyDescent="0.35">
      <c r="A827">
        <v>839</v>
      </c>
      <c r="B827">
        <v>50</v>
      </c>
      <c r="C827" t="s">
        <v>15</v>
      </c>
      <c r="D827" t="s">
        <v>42</v>
      </c>
      <c r="E827" t="s">
        <v>43</v>
      </c>
      <c r="F827">
        <v>6000</v>
      </c>
      <c r="G827">
        <v>59</v>
      </c>
      <c r="H827" t="s">
        <v>13</v>
      </c>
      <c r="I827" t="s">
        <v>14</v>
      </c>
      <c r="J827">
        <v>3</v>
      </c>
      <c r="K827" s="1" t="str">
        <f t="shared" si="36"/>
        <v>45-59</v>
      </c>
      <c r="L827" s="1" t="str">
        <f t="shared" si="37"/>
        <v>Medium</v>
      </c>
      <c r="M827" s="1" t="str">
        <f t="shared" si="38"/>
        <v>No</v>
      </c>
    </row>
    <row r="828" spans="1:13" x14ac:dyDescent="0.35">
      <c r="A828">
        <v>840</v>
      </c>
      <c r="B828">
        <v>60</v>
      </c>
      <c r="C828" t="s">
        <v>10</v>
      </c>
      <c r="D828" t="s">
        <v>44</v>
      </c>
      <c r="E828" t="s">
        <v>45</v>
      </c>
      <c r="F828">
        <v>4000</v>
      </c>
      <c r="G828">
        <v>60</v>
      </c>
      <c r="H828" t="s">
        <v>13</v>
      </c>
      <c r="I828" t="s">
        <v>19</v>
      </c>
      <c r="J828">
        <v>4</v>
      </c>
      <c r="K828" s="1" t="str">
        <f t="shared" si="36"/>
        <v>60-74</v>
      </c>
      <c r="L828" s="1" t="str">
        <f t="shared" si="37"/>
        <v>Medium</v>
      </c>
      <c r="M828" s="1" t="str">
        <f t="shared" si="38"/>
        <v>Yes</v>
      </c>
    </row>
    <row r="829" spans="1:13" x14ac:dyDescent="0.35">
      <c r="A829">
        <v>841</v>
      </c>
      <c r="B829">
        <v>48</v>
      </c>
      <c r="C829" t="s">
        <v>10</v>
      </c>
      <c r="D829" t="s">
        <v>11</v>
      </c>
      <c r="E829" t="s">
        <v>12</v>
      </c>
      <c r="F829">
        <v>15000</v>
      </c>
      <c r="G829">
        <v>61</v>
      </c>
      <c r="H829" t="s">
        <v>18</v>
      </c>
      <c r="I829" t="s">
        <v>14</v>
      </c>
      <c r="J829">
        <v>4</v>
      </c>
      <c r="K829" s="1" t="str">
        <f t="shared" si="36"/>
        <v>45-59</v>
      </c>
      <c r="L829" s="1" t="str">
        <f t="shared" si="37"/>
        <v>High</v>
      </c>
      <c r="M829" s="1" t="str">
        <f t="shared" si="38"/>
        <v>Yes</v>
      </c>
    </row>
    <row r="830" spans="1:13" x14ac:dyDescent="0.35">
      <c r="A830">
        <v>842</v>
      </c>
      <c r="B830">
        <v>65</v>
      </c>
      <c r="C830" t="s">
        <v>15</v>
      </c>
      <c r="D830" t="s">
        <v>16</v>
      </c>
      <c r="E830" t="s">
        <v>17</v>
      </c>
      <c r="F830">
        <v>2000</v>
      </c>
      <c r="G830">
        <v>59</v>
      </c>
      <c r="H830" t="s">
        <v>13</v>
      </c>
      <c r="I830" t="s">
        <v>19</v>
      </c>
      <c r="J830">
        <v>3</v>
      </c>
      <c r="K830" s="1" t="str">
        <f t="shared" si="36"/>
        <v>60-74</v>
      </c>
      <c r="L830" s="1" t="str">
        <f t="shared" si="37"/>
        <v>Medium</v>
      </c>
      <c r="M830" s="1" t="str">
        <f t="shared" si="38"/>
        <v>No</v>
      </c>
    </row>
    <row r="831" spans="1:13" x14ac:dyDescent="0.35">
      <c r="A831">
        <v>843</v>
      </c>
      <c r="B831">
        <v>30</v>
      </c>
      <c r="C831" t="s">
        <v>10</v>
      </c>
      <c r="D831" t="s">
        <v>20</v>
      </c>
      <c r="E831" t="s">
        <v>21</v>
      </c>
      <c r="F831">
        <v>500</v>
      </c>
      <c r="G831">
        <v>57</v>
      </c>
      <c r="H831" t="s">
        <v>13</v>
      </c>
      <c r="I831" t="s">
        <v>14</v>
      </c>
      <c r="J831">
        <v>5</v>
      </c>
      <c r="K831" s="1" t="str">
        <f t="shared" si="36"/>
        <v>30-44</v>
      </c>
      <c r="L831" s="1" t="str">
        <f t="shared" si="37"/>
        <v>Low</v>
      </c>
      <c r="M831" s="1" t="str">
        <f t="shared" si="38"/>
        <v>Yes</v>
      </c>
    </row>
    <row r="832" spans="1:13" x14ac:dyDescent="0.35">
      <c r="A832">
        <v>844</v>
      </c>
      <c r="B832">
        <v>70</v>
      </c>
      <c r="C832" t="s">
        <v>15</v>
      </c>
      <c r="D832" t="s">
        <v>22</v>
      </c>
      <c r="E832" t="s">
        <v>23</v>
      </c>
      <c r="F832">
        <v>10000</v>
      </c>
      <c r="G832">
        <v>64</v>
      </c>
      <c r="H832" t="s">
        <v>18</v>
      </c>
      <c r="I832" t="s">
        <v>19</v>
      </c>
      <c r="J832">
        <v>2</v>
      </c>
      <c r="K832" s="1" t="str">
        <f t="shared" si="36"/>
        <v>60-74</v>
      </c>
      <c r="L832" s="1" t="str">
        <f t="shared" si="37"/>
        <v>High</v>
      </c>
      <c r="M832" s="1" t="str">
        <f t="shared" si="38"/>
        <v>No</v>
      </c>
    </row>
    <row r="833" spans="1:13" x14ac:dyDescent="0.35">
      <c r="A833">
        <v>846</v>
      </c>
      <c r="B833">
        <v>68</v>
      </c>
      <c r="C833" t="s">
        <v>15</v>
      </c>
      <c r="D833" t="s">
        <v>26</v>
      </c>
      <c r="E833" t="s">
        <v>27</v>
      </c>
      <c r="F833">
        <v>1000</v>
      </c>
      <c r="G833">
        <v>60</v>
      </c>
      <c r="H833" t="s">
        <v>13</v>
      </c>
      <c r="I833" t="s">
        <v>19</v>
      </c>
      <c r="J833">
        <v>4</v>
      </c>
      <c r="K833" s="1" t="str">
        <f t="shared" si="36"/>
        <v>60-74</v>
      </c>
      <c r="L833" s="1" t="str">
        <f t="shared" si="37"/>
        <v>Low</v>
      </c>
      <c r="M833" s="1" t="str">
        <f t="shared" si="38"/>
        <v>Yes</v>
      </c>
    </row>
    <row r="834" spans="1:13" x14ac:dyDescent="0.35">
      <c r="A834">
        <v>847</v>
      </c>
      <c r="B834">
        <v>45</v>
      </c>
      <c r="C834" t="s">
        <v>10</v>
      </c>
      <c r="D834" t="s">
        <v>28</v>
      </c>
      <c r="E834" t="s">
        <v>29</v>
      </c>
      <c r="F834">
        <v>8000</v>
      </c>
      <c r="G834">
        <v>62</v>
      </c>
      <c r="H834" t="s">
        <v>13</v>
      </c>
      <c r="I834" t="s">
        <v>14</v>
      </c>
      <c r="J834">
        <v>3</v>
      </c>
      <c r="K834" s="1" t="str">
        <f t="shared" si="36"/>
        <v>45-59</v>
      </c>
      <c r="L834" s="1" t="str">
        <f t="shared" si="37"/>
        <v>Medium</v>
      </c>
      <c r="M834" s="1" t="str">
        <f t="shared" si="38"/>
        <v>No</v>
      </c>
    </row>
    <row r="835" spans="1:13" x14ac:dyDescent="0.35">
      <c r="A835">
        <v>848</v>
      </c>
      <c r="B835">
        <v>40</v>
      </c>
      <c r="C835" t="s">
        <v>15</v>
      </c>
      <c r="D835" t="s">
        <v>30</v>
      </c>
      <c r="E835" t="s">
        <v>31</v>
      </c>
      <c r="F835">
        <v>3000</v>
      </c>
      <c r="G835">
        <v>62</v>
      </c>
      <c r="H835" t="s">
        <v>13</v>
      </c>
      <c r="I835" t="s">
        <v>14</v>
      </c>
      <c r="J835">
        <v>4</v>
      </c>
      <c r="K835" s="1" t="str">
        <f t="shared" ref="K835:K898" si="39">IF(B835&lt;30,"18-29",IF(B835&lt;45,"30-44",IF(B835&lt;60,"45-59",IF(B835&lt;75,"60-74","75+"))))</f>
        <v>30-44</v>
      </c>
      <c r="L835" s="1" t="str">
        <f t="shared" ref="L835:L898" si="40">IF(F835&lt;=1000,"Low",IF(F835&lt;=8000,"Medium","High"))</f>
        <v>Medium</v>
      </c>
      <c r="M835" s="1" t="str">
        <f t="shared" ref="M835:M898" si="41">IF(J835&gt;=4,"Yes","No")</f>
        <v>Yes</v>
      </c>
    </row>
    <row r="836" spans="1:13" x14ac:dyDescent="0.35">
      <c r="A836">
        <v>849</v>
      </c>
      <c r="B836">
        <v>78</v>
      </c>
      <c r="C836" t="s">
        <v>10</v>
      </c>
      <c r="D836" t="s">
        <v>32</v>
      </c>
      <c r="E836" t="s">
        <v>33</v>
      </c>
      <c r="F836">
        <v>18000</v>
      </c>
      <c r="G836">
        <v>64</v>
      </c>
      <c r="H836" t="s">
        <v>18</v>
      </c>
      <c r="I836" t="s">
        <v>19</v>
      </c>
      <c r="J836">
        <v>2</v>
      </c>
      <c r="K836" s="1" t="str">
        <f t="shared" si="39"/>
        <v>75+</v>
      </c>
      <c r="L836" s="1" t="str">
        <f t="shared" si="40"/>
        <v>High</v>
      </c>
      <c r="M836" s="1" t="str">
        <f t="shared" si="41"/>
        <v>No</v>
      </c>
    </row>
    <row r="837" spans="1:13" x14ac:dyDescent="0.35">
      <c r="A837">
        <v>850</v>
      </c>
      <c r="B837">
        <v>25</v>
      </c>
      <c r="C837" t="s">
        <v>15</v>
      </c>
      <c r="D837" t="s">
        <v>34</v>
      </c>
      <c r="E837" t="s">
        <v>35</v>
      </c>
      <c r="F837">
        <v>100</v>
      </c>
      <c r="G837">
        <v>57</v>
      </c>
      <c r="H837" t="s">
        <v>13</v>
      </c>
      <c r="I837" t="s">
        <v>14</v>
      </c>
      <c r="J837">
        <v>5</v>
      </c>
      <c r="K837" s="1" t="str">
        <f t="shared" si="39"/>
        <v>18-29</v>
      </c>
      <c r="L837" s="1" t="str">
        <f t="shared" si="40"/>
        <v>Low</v>
      </c>
      <c r="M837" s="1" t="str">
        <f t="shared" si="41"/>
        <v>Yes</v>
      </c>
    </row>
    <row r="838" spans="1:13" x14ac:dyDescent="0.35">
      <c r="A838">
        <v>851</v>
      </c>
      <c r="B838">
        <v>52</v>
      </c>
      <c r="C838" t="s">
        <v>10</v>
      </c>
      <c r="D838" t="s">
        <v>36</v>
      </c>
      <c r="E838" t="s">
        <v>37</v>
      </c>
      <c r="F838">
        <v>800</v>
      </c>
      <c r="G838">
        <v>58</v>
      </c>
      <c r="H838" t="s">
        <v>13</v>
      </c>
      <c r="I838" t="s">
        <v>19</v>
      </c>
      <c r="J838">
        <v>4</v>
      </c>
      <c r="K838" s="1" t="str">
        <f t="shared" si="39"/>
        <v>45-59</v>
      </c>
      <c r="L838" s="1" t="str">
        <f t="shared" si="40"/>
        <v>Low</v>
      </c>
      <c r="M838" s="1" t="str">
        <f t="shared" si="41"/>
        <v>Yes</v>
      </c>
    </row>
    <row r="839" spans="1:13" x14ac:dyDescent="0.35">
      <c r="A839">
        <v>852</v>
      </c>
      <c r="B839">
        <v>58</v>
      </c>
      <c r="C839" t="s">
        <v>15</v>
      </c>
      <c r="D839" t="s">
        <v>38</v>
      </c>
      <c r="E839" t="s">
        <v>39</v>
      </c>
      <c r="F839">
        <v>20000</v>
      </c>
      <c r="G839">
        <v>65</v>
      </c>
      <c r="H839" t="s">
        <v>13</v>
      </c>
      <c r="I839" t="s">
        <v>14</v>
      </c>
      <c r="J839">
        <v>3</v>
      </c>
      <c r="K839" s="1" t="str">
        <f t="shared" si="39"/>
        <v>45-59</v>
      </c>
      <c r="L839" s="1" t="str">
        <f t="shared" si="40"/>
        <v>High</v>
      </c>
      <c r="M839" s="1" t="str">
        <f t="shared" si="41"/>
        <v>No</v>
      </c>
    </row>
    <row r="840" spans="1:13" x14ac:dyDescent="0.35">
      <c r="A840">
        <v>853</v>
      </c>
      <c r="B840">
        <v>32</v>
      </c>
      <c r="C840" t="s">
        <v>10</v>
      </c>
      <c r="D840" t="s">
        <v>40</v>
      </c>
      <c r="E840" t="s">
        <v>41</v>
      </c>
      <c r="F840">
        <v>12000</v>
      </c>
      <c r="G840">
        <v>59</v>
      </c>
      <c r="H840" t="s">
        <v>13</v>
      </c>
      <c r="I840" t="s">
        <v>14</v>
      </c>
      <c r="J840">
        <v>4</v>
      </c>
      <c r="K840" s="1" t="str">
        <f t="shared" si="39"/>
        <v>30-44</v>
      </c>
      <c r="L840" s="1" t="str">
        <f t="shared" si="40"/>
        <v>High</v>
      </c>
      <c r="M840" s="1" t="str">
        <f t="shared" si="41"/>
        <v>Yes</v>
      </c>
    </row>
    <row r="841" spans="1:13" x14ac:dyDescent="0.35">
      <c r="A841">
        <v>854</v>
      </c>
      <c r="B841">
        <v>55</v>
      </c>
      <c r="C841" t="s">
        <v>15</v>
      </c>
      <c r="D841" t="s">
        <v>42</v>
      </c>
      <c r="E841" t="s">
        <v>43</v>
      </c>
      <c r="F841">
        <v>6000</v>
      </c>
      <c r="G841">
        <v>60</v>
      </c>
      <c r="H841" t="s">
        <v>13</v>
      </c>
      <c r="I841" t="s">
        <v>14</v>
      </c>
      <c r="J841">
        <v>3</v>
      </c>
      <c r="K841" s="1" t="str">
        <f t="shared" si="39"/>
        <v>45-59</v>
      </c>
      <c r="L841" s="1" t="str">
        <f t="shared" si="40"/>
        <v>Medium</v>
      </c>
      <c r="M841" s="1" t="str">
        <f t="shared" si="41"/>
        <v>No</v>
      </c>
    </row>
    <row r="842" spans="1:13" x14ac:dyDescent="0.35">
      <c r="A842">
        <v>855</v>
      </c>
      <c r="B842">
        <v>65</v>
      </c>
      <c r="C842" t="s">
        <v>10</v>
      </c>
      <c r="D842" t="s">
        <v>44</v>
      </c>
      <c r="E842" t="s">
        <v>45</v>
      </c>
      <c r="F842">
        <v>4000</v>
      </c>
      <c r="G842">
        <v>61</v>
      </c>
      <c r="H842" t="s">
        <v>13</v>
      </c>
      <c r="I842" t="s">
        <v>19</v>
      </c>
      <c r="J842">
        <v>4</v>
      </c>
      <c r="K842" s="1" t="str">
        <f t="shared" si="39"/>
        <v>60-74</v>
      </c>
      <c r="L842" s="1" t="str">
        <f t="shared" si="40"/>
        <v>Medium</v>
      </c>
      <c r="M842" s="1" t="str">
        <f t="shared" si="41"/>
        <v>Yes</v>
      </c>
    </row>
    <row r="843" spans="1:13" x14ac:dyDescent="0.35">
      <c r="A843">
        <v>856</v>
      </c>
      <c r="B843">
        <v>55</v>
      </c>
      <c r="C843" t="s">
        <v>10</v>
      </c>
      <c r="D843" t="s">
        <v>11</v>
      </c>
      <c r="E843" t="s">
        <v>12</v>
      </c>
      <c r="F843">
        <v>15000</v>
      </c>
      <c r="G843">
        <v>62</v>
      </c>
      <c r="H843" t="s">
        <v>18</v>
      </c>
      <c r="I843" t="s">
        <v>14</v>
      </c>
      <c r="J843">
        <v>3</v>
      </c>
      <c r="K843" s="1" t="str">
        <f t="shared" si="39"/>
        <v>45-59</v>
      </c>
      <c r="L843" s="1" t="str">
        <f t="shared" si="40"/>
        <v>High</v>
      </c>
      <c r="M843" s="1" t="str">
        <f t="shared" si="41"/>
        <v>No</v>
      </c>
    </row>
    <row r="844" spans="1:13" x14ac:dyDescent="0.35">
      <c r="A844">
        <v>857</v>
      </c>
      <c r="B844">
        <v>62</v>
      </c>
      <c r="C844" t="s">
        <v>15</v>
      </c>
      <c r="D844" t="s">
        <v>16</v>
      </c>
      <c r="E844" t="s">
        <v>17</v>
      </c>
      <c r="F844">
        <v>2000</v>
      </c>
      <c r="G844">
        <v>60</v>
      </c>
      <c r="H844" t="s">
        <v>13</v>
      </c>
      <c r="I844" t="s">
        <v>19</v>
      </c>
      <c r="J844">
        <v>4</v>
      </c>
      <c r="K844" s="1" t="str">
        <f t="shared" si="39"/>
        <v>60-74</v>
      </c>
      <c r="L844" s="1" t="str">
        <f t="shared" si="40"/>
        <v>Medium</v>
      </c>
      <c r="M844" s="1" t="str">
        <f t="shared" si="41"/>
        <v>Yes</v>
      </c>
    </row>
    <row r="845" spans="1:13" x14ac:dyDescent="0.35">
      <c r="A845">
        <v>858</v>
      </c>
      <c r="B845">
        <v>35</v>
      </c>
      <c r="C845" t="s">
        <v>10</v>
      </c>
      <c r="D845" t="s">
        <v>20</v>
      </c>
      <c r="E845" t="s">
        <v>21</v>
      </c>
      <c r="F845">
        <v>500</v>
      </c>
      <c r="G845">
        <v>58</v>
      </c>
      <c r="H845" t="s">
        <v>18</v>
      </c>
      <c r="I845" t="s">
        <v>14</v>
      </c>
      <c r="J845">
        <v>5</v>
      </c>
      <c r="K845" s="1" t="str">
        <f t="shared" si="39"/>
        <v>30-44</v>
      </c>
      <c r="L845" s="1" t="str">
        <f t="shared" si="40"/>
        <v>Low</v>
      </c>
      <c r="M845" s="1" t="str">
        <f t="shared" si="41"/>
        <v>Yes</v>
      </c>
    </row>
    <row r="846" spans="1:13" x14ac:dyDescent="0.35">
      <c r="A846">
        <v>859</v>
      </c>
      <c r="B846">
        <v>78</v>
      </c>
      <c r="C846" t="s">
        <v>15</v>
      </c>
      <c r="D846" t="s">
        <v>22</v>
      </c>
      <c r="E846" t="s">
        <v>23</v>
      </c>
      <c r="F846">
        <v>10000</v>
      </c>
      <c r="G846">
        <v>65</v>
      </c>
      <c r="H846" t="s">
        <v>13</v>
      </c>
      <c r="I846" t="s">
        <v>19</v>
      </c>
      <c r="J846">
        <v>2</v>
      </c>
      <c r="K846" s="1" t="str">
        <f t="shared" si="39"/>
        <v>75+</v>
      </c>
      <c r="L846" s="1" t="str">
        <f t="shared" si="40"/>
        <v>High</v>
      </c>
      <c r="M846" s="1" t="str">
        <f t="shared" si="41"/>
        <v>No</v>
      </c>
    </row>
    <row r="847" spans="1:13" x14ac:dyDescent="0.35">
      <c r="A847">
        <v>860</v>
      </c>
      <c r="B847">
        <v>53</v>
      </c>
      <c r="C847" t="s">
        <v>10</v>
      </c>
      <c r="D847" t="s">
        <v>24</v>
      </c>
      <c r="E847" t="s">
        <v>25</v>
      </c>
      <c r="F847">
        <v>25000</v>
      </c>
      <c r="G847">
        <v>67</v>
      </c>
      <c r="H847" t="s">
        <v>18</v>
      </c>
      <c r="I847" t="s">
        <v>14</v>
      </c>
      <c r="J847">
        <v>4</v>
      </c>
      <c r="K847" s="1" t="str">
        <f t="shared" si="39"/>
        <v>45-59</v>
      </c>
      <c r="L847" s="1" t="str">
        <f t="shared" si="40"/>
        <v>High</v>
      </c>
      <c r="M847" s="1" t="str">
        <f t="shared" si="41"/>
        <v>Yes</v>
      </c>
    </row>
    <row r="848" spans="1:13" x14ac:dyDescent="0.35">
      <c r="A848">
        <v>861</v>
      </c>
      <c r="B848">
        <v>72</v>
      </c>
      <c r="C848" t="s">
        <v>15</v>
      </c>
      <c r="D848" t="s">
        <v>26</v>
      </c>
      <c r="E848" t="s">
        <v>27</v>
      </c>
      <c r="F848">
        <v>1000</v>
      </c>
      <c r="G848">
        <v>61</v>
      </c>
      <c r="H848" t="s">
        <v>13</v>
      </c>
      <c r="I848" t="s">
        <v>19</v>
      </c>
      <c r="J848">
        <v>4</v>
      </c>
      <c r="K848" s="1" t="str">
        <f t="shared" si="39"/>
        <v>60-74</v>
      </c>
      <c r="L848" s="1" t="str">
        <f t="shared" si="40"/>
        <v>Low</v>
      </c>
      <c r="M848" s="1" t="str">
        <f t="shared" si="41"/>
        <v>Yes</v>
      </c>
    </row>
    <row r="849" spans="1:13" x14ac:dyDescent="0.35">
      <c r="A849">
        <v>862</v>
      </c>
      <c r="B849">
        <v>60</v>
      </c>
      <c r="C849" t="s">
        <v>10</v>
      </c>
      <c r="D849" t="s">
        <v>28</v>
      </c>
      <c r="E849" t="s">
        <v>29</v>
      </c>
      <c r="F849">
        <v>8000</v>
      </c>
      <c r="G849">
        <v>63</v>
      </c>
      <c r="H849" t="s">
        <v>18</v>
      </c>
      <c r="I849" t="s">
        <v>14</v>
      </c>
      <c r="J849">
        <v>3</v>
      </c>
      <c r="K849" s="1" t="str">
        <f t="shared" si="39"/>
        <v>60-74</v>
      </c>
      <c r="L849" s="1" t="str">
        <f t="shared" si="40"/>
        <v>Medium</v>
      </c>
      <c r="M849" s="1" t="str">
        <f t="shared" si="41"/>
        <v>No</v>
      </c>
    </row>
    <row r="850" spans="1:13" x14ac:dyDescent="0.35">
      <c r="A850">
        <v>863</v>
      </c>
      <c r="B850">
        <v>45</v>
      </c>
      <c r="C850" t="s">
        <v>15</v>
      </c>
      <c r="D850" t="s">
        <v>30</v>
      </c>
      <c r="E850" t="s">
        <v>31</v>
      </c>
      <c r="F850">
        <v>3000</v>
      </c>
      <c r="G850">
        <v>63</v>
      </c>
      <c r="H850" t="s">
        <v>13</v>
      </c>
      <c r="I850" t="s">
        <v>14</v>
      </c>
      <c r="J850">
        <v>4</v>
      </c>
      <c r="K850" s="1" t="str">
        <f t="shared" si="39"/>
        <v>45-59</v>
      </c>
      <c r="L850" s="1" t="str">
        <f t="shared" si="40"/>
        <v>Medium</v>
      </c>
      <c r="M850" s="1" t="str">
        <f t="shared" si="41"/>
        <v>Yes</v>
      </c>
    </row>
    <row r="851" spans="1:13" x14ac:dyDescent="0.35">
      <c r="A851">
        <v>864</v>
      </c>
      <c r="B851">
        <v>75</v>
      </c>
      <c r="C851" t="s">
        <v>10</v>
      </c>
      <c r="D851" t="s">
        <v>32</v>
      </c>
      <c r="E851" t="s">
        <v>33</v>
      </c>
      <c r="F851">
        <v>18000</v>
      </c>
      <c r="G851">
        <v>65</v>
      </c>
      <c r="H851" t="s">
        <v>18</v>
      </c>
      <c r="I851" t="s">
        <v>19</v>
      </c>
      <c r="J851">
        <v>2</v>
      </c>
      <c r="K851" s="1" t="str">
        <f t="shared" si="39"/>
        <v>75+</v>
      </c>
      <c r="L851" s="1" t="str">
        <f t="shared" si="40"/>
        <v>High</v>
      </c>
      <c r="M851" s="1" t="str">
        <f t="shared" si="41"/>
        <v>No</v>
      </c>
    </row>
    <row r="852" spans="1:13" x14ac:dyDescent="0.35">
      <c r="A852">
        <v>865</v>
      </c>
      <c r="B852">
        <v>28</v>
      </c>
      <c r="C852" t="s">
        <v>15</v>
      </c>
      <c r="D852" t="s">
        <v>34</v>
      </c>
      <c r="E852" t="s">
        <v>35</v>
      </c>
      <c r="F852">
        <v>100</v>
      </c>
      <c r="G852">
        <v>58</v>
      </c>
      <c r="H852" t="s">
        <v>13</v>
      </c>
      <c r="I852" t="s">
        <v>14</v>
      </c>
      <c r="J852">
        <v>5</v>
      </c>
      <c r="K852" s="1" t="str">
        <f t="shared" si="39"/>
        <v>18-29</v>
      </c>
      <c r="L852" s="1" t="str">
        <f t="shared" si="40"/>
        <v>Low</v>
      </c>
      <c r="M852" s="1" t="str">
        <f t="shared" si="41"/>
        <v>Yes</v>
      </c>
    </row>
    <row r="853" spans="1:13" x14ac:dyDescent="0.35">
      <c r="A853">
        <v>866</v>
      </c>
      <c r="B853">
        <v>52</v>
      </c>
      <c r="C853" t="s">
        <v>10</v>
      </c>
      <c r="D853" t="s">
        <v>36</v>
      </c>
      <c r="E853" t="s">
        <v>37</v>
      </c>
      <c r="F853">
        <v>800</v>
      </c>
      <c r="G853">
        <v>59</v>
      </c>
      <c r="H853" t="s">
        <v>13</v>
      </c>
      <c r="I853" t="s">
        <v>19</v>
      </c>
      <c r="J853">
        <v>4</v>
      </c>
      <c r="K853" s="1" t="str">
        <f t="shared" si="39"/>
        <v>45-59</v>
      </c>
      <c r="L853" s="1" t="str">
        <f t="shared" si="40"/>
        <v>Low</v>
      </c>
      <c r="M853" s="1" t="str">
        <f t="shared" si="41"/>
        <v>Yes</v>
      </c>
    </row>
    <row r="854" spans="1:13" x14ac:dyDescent="0.35">
      <c r="A854">
        <v>867</v>
      </c>
      <c r="B854">
        <v>67</v>
      </c>
      <c r="C854" t="s">
        <v>15</v>
      </c>
      <c r="D854" t="s">
        <v>38</v>
      </c>
      <c r="E854" t="s">
        <v>39</v>
      </c>
      <c r="F854">
        <v>20000</v>
      </c>
      <c r="G854">
        <v>66</v>
      </c>
      <c r="H854" t="s">
        <v>13</v>
      </c>
      <c r="I854" t="s">
        <v>14</v>
      </c>
      <c r="J854">
        <v>3</v>
      </c>
      <c r="K854" s="1" t="str">
        <f t="shared" si="39"/>
        <v>60-74</v>
      </c>
      <c r="L854" s="1" t="str">
        <f t="shared" si="40"/>
        <v>High</v>
      </c>
      <c r="M854" s="1" t="str">
        <f t="shared" si="41"/>
        <v>No</v>
      </c>
    </row>
    <row r="855" spans="1:13" x14ac:dyDescent="0.35">
      <c r="A855">
        <v>868</v>
      </c>
      <c r="B855">
        <v>35</v>
      </c>
      <c r="C855" t="s">
        <v>10</v>
      </c>
      <c r="D855" t="s">
        <v>40</v>
      </c>
      <c r="E855" t="s">
        <v>41</v>
      </c>
      <c r="F855">
        <v>12000</v>
      </c>
      <c r="G855">
        <v>60</v>
      </c>
      <c r="H855" t="s">
        <v>13</v>
      </c>
      <c r="I855" t="s">
        <v>14</v>
      </c>
      <c r="J855">
        <v>4</v>
      </c>
      <c r="K855" s="1" t="str">
        <f t="shared" si="39"/>
        <v>30-44</v>
      </c>
      <c r="L855" s="1" t="str">
        <f t="shared" si="40"/>
        <v>High</v>
      </c>
      <c r="M855" s="1" t="str">
        <f t="shared" si="41"/>
        <v>Yes</v>
      </c>
    </row>
    <row r="856" spans="1:13" x14ac:dyDescent="0.35">
      <c r="A856">
        <v>869</v>
      </c>
      <c r="B856">
        <v>50</v>
      </c>
      <c r="C856" t="s">
        <v>15</v>
      </c>
      <c r="D856" t="s">
        <v>42</v>
      </c>
      <c r="E856" t="s">
        <v>43</v>
      </c>
      <c r="F856">
        <v>6000</v>
      </c>
      <c r="G856">
        <v>61</v>
      </c>
      <c r="H856" t="s">
        <v>13</v>
      </c>
      <c r="I856" t="s">
        <v>14</v>
      </c>
      <c r="J856">
        <v>3</v>
      </c>
      <c r="K856" s="1" t="str">
        <f t="shared" si="39"/>
        <v>45-59</v>
      </c>
      <c r="L856" s="1" t="str">
        <f t="shared" si="40"/>
        <v>Medium</v>
      </c>
      <c r="M856" s="1" t="str">
        <f t="shared" si="41"/>
        <v>No</v>
      </c>
    </row>
    <row r="857" spans="1:13" x14ac:dyDescent="0.35">
      <c r="A857">
        <v>870</v>
      </c>
      <c r="B857">
        <v>60</v>
      </c>
      <c r="C857" t="s">
        <v>10</v>
      </c>
      <c r="D857" t="s">
        <v>44</v>
      </c>
      <c r="E857" t="s">
        <v>45</v>
      </c>
      <c r="F857">
        <v>4000</v>
      </c>
      <c r="G857">
        <v>62</v>
      </c>
      <c r="H857" t="s">
        <v>13</v>
      </c>
      <c r="I857" t="s">
        <v>19</v>
      </c>
      <c r="J857">
        <v>4</v>
      </c>
      <c r="K857" s="1" t="str">
        <f t="shared" si="39"/>
        <v>60-74</v>
      </c>
      <c r="L857" s="1" t="str">
        <f t="shared" si="40"/>
        <v>Medium</v>
      </c>
      <c r="M857" s="1" t="str">
        <f t="shared" si="41"/>
        <v>Yes</v>
      </c>
    </row>
    <row r="858" spans="1:13" x14ac:dyDescent="0.35">
      <c r="A858">
        <v>871</v>
      </c>
      <c r="B858">
        <v>48</v>
      </c>
      <c r="C858" t="s">
        <v>10</v>
      </c>
      <c r="D858" t="s">
        <v>11</v>
      </c>
      <c r="E858" t="s">
        <v>12</v>
      </c>
      <c r="F858">
        <v>15000</v>
      </c>
      <c r="G858">
        <v>63</v>
      </c>
      <c r="H858" t="s">
        <v>18</v>
      </c>
      <c r="I858" t="s">
        <v>14</v>
      </c>
      <c r="J858">
        <v>4</v>
      </c>
      <c r="K858" s="1" t="str">
        <f t="shared" si="39"/>
        <v>45-59</v>
      </c>
      <c r="L858" s="1" t="str">
        <f t="shared" si="40"/>
        <v>High</v>
      </c>
      <c r="M858" s="1" t="str">
        <f t="shared" si="41"/>
        <v>Yes</v>
      </c>
    </row>
    <row r="859" spans="1:13" x14ac:dyDescent="0.35">
      <c r="A859">
        <v>872</v>
      </c>
      <c r="B859">
        <v>65</v>
      </c>
      <c r="C859" t="s">
        <v>15</v>
      </c>
      <c r="D859" t="s">
        <v>16</v>
      </c>
      <c r="E859" t="s">
        <v>17</v>
      </c>
      <c r="F859">
        <v>2000</v>
      </c>
      <c r="G859">
        <v>61</v>
      </c>
      <c r="H859" t="s">
        <v>13</v>
      </c>
      <c r="I859" t="s">
        <v>19</v>
      </c>
      <c r="J859">
        <v>3</v>
      </c>
      <c r="K859" s="1" t="str">
        <f t="shared" si="39"/>
        <v>60-74</v>
      </c>
      <c r="L859" s="1" t="str">
        <f t="shared" si="40"/>
        <v>Medium</v>
      </c>
      <c r="M859" s="1" t="str">
        <f t="shared" si="41"/>
        <v>No</v>
      </c>
    </row>
    <row r="860" spans="1:13" x14ac:dyDescent="0.35">
      <c r="A860">
        <v>873</v>
      </c>
      <c r="B860">
        <v>30</v>
      </c>
      <c r="C860" t="s">
        <v>10</v>
      </c>
      <c r="D860" t="s">
        <v>20</v>
      </c>
      <c r="E860" t="s">
        <v>21</v>
      </c>
      <c r="F860">
        <v>500</v>
      </c>
      <c r="G860">
        <v>59</v>
      </c>
      <c r="H860" t="s">
        <v>13</v>
      </c>
      <c r="I860" t="s">
        <v>14</v>
      </c>
      <c r="J860">
        <v>5</v>
      </c>
      <c r="K860" s="1" t="str">
        <f t="shared" si="39"/>
        <v>30-44</v>
      </c>
      <c r="L860" s="1" t="str">
        <f t="shared" si="40"/>
        <v>Low</v>
      </c>
      <c r="M860" s="1" t="str">
        <f t="shared" si="41"/>
        <v>Yes</v>
      </c>
    </row>
    <row r="861" spans="1:13" x14ac:dyDescent="0.35">
      <c r="A861">
        <v>874</v>
      </c>
      <c r="B861">
        <v>70</v>
      </c>
      <c r="C861" t="s">
        <v>15</v>
      </c>
      <c r="D861" t="s">
        <v>22</v>
      </c>
      <c r="E861" t="s">
        <v>23</v>
      </c>
      <c r="F861">
        <v>10000</v>
      </c>
      <c r="G861">
        <v>66</v>
      </c>
      <c r="H861" t="s">
        <v>18</v>
      </c>
      <c r="I861" t="s">
        <v>19</v>
      </c>
      <c r="J861">
        <v>2</v>
      </c>
      <c r="K861" s="1" t="str">
        <f t="shared" si="39"/>
        <v>60-74</v>
      </c>
      <c r="L861" s="1" t="str">
        <f t="shared" si="40"/>
        <v>High</v>
      </c>
      <c r="M861" s="1" t="str">
        <f t="shared" si="41"/>
        <v>No</v>
      </c>
    </row>
    <row r="862" spans="1:13" x14ac:dyDescent="0.35">
      <c r="A862">
        <v>875</v>
      </c>
      <c r="B862">
        <v>55</v>
      </c>
      <c r="C862" t="s">
        <v>10</v>
      </c>
      <c r="D862" t="s">
        <v>24</v>
      </c>
      <c r="E862" t="s">
        <v>25</v>
      </c>
      <c r="F862">
        <v>25000</v>
      </c>
      <c r="G862">
        <v>68</v>
      </c>
      <c r="H862" t="s">
        <v>13</v>
      </c>
      <c r="I862" t="s">
        <v>14</v>
      </c>
      <c r="J862">
        <v>4</v>
      </c>
      <c r="K862" s="1" t="str">
        <f t="shared" si="39"/>
        <v>45-59</v>
      </c>
      <c r="L862" s="1" t="str">
        <f t="shared" si="40"/>
        <v>High</v>
      </c>
      <c r="M862" s="1" t="str">
        <f t="shared" si="41"/>
        <v>Yes</v>
      </c>
    </row>
    <row r="863" spans="1:13" x14ac:dyDescent="0.35">
      <c r="A863">
        <v>876</v>
      </c>
      <c r="B863">
        <v>68</v>
      </c>
      <c r="C863" t="s">
        <v>15</v>
      </c>
      <c r="D863" t="s">
        <v>26</v>
      </c>
      <c r="E863" t="s">
        <v>27</v>
      </c>
      <c r="F863">
        <v>1000</v>
      </c>
      <c r="G863">
        <v>62</v>
      </c>
      <c r="H863" t="s">
        <v>13</v>
      </c>
      <c r="I863" t="s">
        <v>19</v>
      </c>
      <c r="J863">
        <v>4</v>
      </c>
      <c r="K863" s="1" t="str">
        <f t="shared" si="39"/>
        <v>60-74</v>
      </c>
      <c r="L863" s="1" t="str">
        <f t="shared" si="40"/>
        <v>Low</v>
      </c>
      <c r="M863" s="1" t="str">
        <f t="shared" si="41"/>
        <v>Yes</v>
      </c>
    </row>
    <row r="864" spans="1:13" x14ac:dyDescent="0.35">
      <c r="A864">
        <v>877</v>
      </c>
      <c r="B864">
        <v>45</v>
      </c>
      <c r="C864" t="s">
        <v>10</v>
      </c>
      <c r="D864" t="s">
        <v>28</v>
      </c>
      <c r="E864" t="s">
        <v>29</v>
      </c>
      <c r="F864">
        <v>8000</v>
      </c>
      <c r="G864">
        <v>64</v>
      </c>
      <c r="H864" t="s">
        <v>13</v>
      </c>
      <c r="I864" t="s">
        <v>14</v>
      </c>
      <c r="J864">
        <v>3</v>
      </c>
      <c r="K864" s="1" t="str">
        <f t="shared" si="39"/>
        <v>45-59</v>
      </c>
      <c r="L864" s="1" t="str">
        <f t="shared" si="40"/>
        <v>Medium</v>
      </c>
      <c r="M864" s="1" t="str">
        <f t="shared" si="41"/>
        <v>No</v>
      </c>
    </row>
    <row r="865" spans="1:13" x14ac:dyDescent="0.35">
      <c r="A865">
        <v>878</v>
      </c>
      <c r="B865">
        <v>40</v>
      </c>
      <c r="C865" t="s">
        <v>15</v>
      </c>
      <c r="D865" t="s">
        <v>30</v>
      </c>
      <c r="E865" t="s">
        <v>31</v>
      </c>
      <c r="F865">
        <v>3000</v>
      </c>
      <c r="G865">
        <v>64</v>
      </c>
      <c r="H865" t="s">
        <v>13</v>
      </c>
      <c r="I865" t="s">
        <v>14</v>
      </c>
      <c r="J865">
        <v>4</v>
      </c>
      <c r="K865" s="1" t="str">
        <f t="shared" si="39"/>
        <v>30-44</v>
      </c>
      <c r="L865" s="1" t="str">
        <f t="shared" si="40"/>
        <v>Medium</v>
      </c>
      <c r="M865" s="1" t="str">
        <f t="shared" si="41"/>
        <v>Yes</v>
      </c>
    </row>
    <row r="866" spans="1:13" x14ac:dyDescent="0.35">
      <c r="A866">
        <v>879</v>
      </c>
      <c r="B866">
        <v>78</v>
      </c>
      <c r="C866" t="s">
        <v>10</v>
      </c>
      <c r="D866" t="s">
        <v>32</v>
      </c>
      <c r="E866" t="s">
        <v>33</v>
      </c>
      <c r="F866">
        <v>18000</v>
      </c>
      <c r="G866">
        <v>66</v>
      </c>
      <c r="H866" t="s">
        <v>18</v>
      </c>
      <c r="I866" t="s">
        <v>19</v>
      </c>
      <c r="J866">
        <v>2</v>
      </c>
      <c r="K866" s="1" t="str">
        <f t="shared" si="39"/>
        <v>75+</v>
      </c>
      <c r="L866" s="1" t="str">
        <f t="shared" si="40"/>
        <v>High</v>
      </c>
      <c r="M866" s="1" t="str">
        <f t="shared" si="41"/>
        <v>No</v>
      </c>
    </row>
    <row r="867" spans="1:13" x14ac:dyDescent="0.35">
      <c r="A867">
        <v>880</v>
      </c>
      <c r="B867">
        <v>25</v>
      </c>
      <c r="C867" t="s">
        <v>15</v>
      </c>
      <c r="D867" t="s">
        <v>34</v>
      </c>
      <c r="E867" t="s">
        <v>35</v>
      </c>
      <c r="F867">
        <v>100</v>
      </c>
      <c r="G867">
        <v>59</v>
      </c>
      <c r="H867" t="s">
        <v>13</v>
      </c>
      <c r="I867" t="s">
        <v>14</v>
      </c>
      <c r="J867">
        <v>5</v>
      </c>
      <c r="K867" s="1" t="str">
        <f t="shared" si="39"/>
        <v>18-29</v>
      </c>
      <c r="L867" s="1" t="str">
        <f t="shared" si="40"/>
        <v>Low</v>
      </c>
      <c r="M867" s="1" t="str">
        <f t="shared" si="41"/>
        <v>Yes</v>
      </c>
    </row>
    <row r="868" spans="1:13" x14ac:dyDescent="0.35">
      <c r="A868">
        <v>881</v>
      </c>
      <c r="B868">
        <v>52</v>
      </c>
      <c r="C868" t="s">
        <v>10</v>
      </c>
      <c r="D868" t="s">
        <v>36</v>
      </c>
      <c r="E868" t="s">
        <v>37</v>
      </c>
      <c r="F868">
        <v>800</v>
      </c>
      <c r="G868">
        <v>60</v>
      </c>
      <c r="H868" t="s">
        <v>13</v>
      </c>
      <c r="I868" t="s">
        <v>19</v>
      </c>
      <c r="J868">
        <v>4</v>
      </c>
      <c r="K868" s="1" t="str">
        <f t="shared" si="39"/>
        <v>45-59</v>
      </c>
      <c r="L868" s="1" t="str">
        <f t="shared" si="40"/>
        <v>Low</v>
      </c>
      <c r="M868" s="1" t="str">
        <f t="shared" si="41"/>
        <v>Yes</v>
      </c>
    </row>
    <row r="869" spans="1:13" x14ac:dyDescent="0.35">
      <c r="A869">
        <v>882</v>
      </c>
      <c r="B869">
        <v>58</v>
      </c>
      <c r="C869" t="s">
        <v>15</v>
      </c>
      <c r="D869" t="s">
        <v>38</v>
      </c>
      <c r="E869" t="s">
        <v>39</v>
      </c>
      <c r="F869">
        <v>20000</v>
      </c>
      <c r="G869">
        <v>67</v>
      </c>
      <c r="H869" t="s">
        <v>13</v>
      </c>
      <c r="I869" t="s">
        <v>14</v>
      </c>
      <c r="J869">
        <v>3</v>
      </c>
      <c r="K869" s="1" t="str">
        <f t="shared" si="39"/>
        <v>45-59</v>
      </c>
      <c r="L869" s="1" t="str">
        <f t="shared" si="40"/>
        <v>High</v>
      </c>
      <c r="M869" s="1" t="str">
        <f t="shared" si="41"/>
        <v>No</v>
      </c>
    </row>
    <row r="870" spans="1:13" x14ac:dyDescent="0.35">
      <c r="A870">
        <v>883</v>
      </c>
      <c r="B870">
        <v>32</v>
      </c>
      <c r="C870" t="s">
        <v>10</v>
      </c>
      <c r="D870" t="s">
        <v>40</v>
      </c>
      <c r="E870" t="s">
        <v>41</v>
      </c>
      <c r="F870">
        <v>12000</v>
      </c>
      <c r="G870">
        <v>61</v>
      </c>
      <c r="H870" t="s">
        <v>13</v>
      </c>
      <c r="I870" t="s">
        <v>14</v>
      </c>
      <c r="J870">
        <v>4</v>
      </c>
      <c r="K870" s="1" t="str">
        <f t="shared" si="39"/>
        <v>30-44</v>
      </c>
      <c r="L870" s="1" t="str">
        <f t="shared" si="40"/>
        <v>High</v>
      </c>
      <c r="M870" s="1" t="str">
        <f t="shared" si="41"/>
        <v>Yes</v>
      </c>
    </row>
    <row r="871" spans="1:13" x14ac:dyDescent="0.35">
      <c r="A871">
        <v>884</v>
      </c>
      <c r="B871">
        <v>55</v>
      </c>
      <c r="C871" t="s">
        <v>15</v>
      </c>
      <c r="D871" t="s">
        <v>42</v>
      </c>
      <c r="E871" t="s">
        <v>43</v>
      </c>
      <c r="F871">
        <v>6000</v>
      </c>
      <c r="G871">
        <v>62</v>
      </c>
      <c r="H871" t="s">
        <v>13</v>
      </c>
      <c r="I871" t="s">
        <v>14</v>
      </c>
      <c r="J871">
        <v>3</v>
      </c>
      <c r="K871" s="1" t="str">
        <f t="shared" si="39"/>
        <v>45-59</v>
      </c>
      <c r="L871" s="1" t="str">
        <f t="shared" si="40"/>
        <v>Medium</v>
      </c>
      <c r="M871" s="1" t="str">
        <f t="shared" si="41"/>
        <v>No</v>
      </c>
    </row>
    <row r="872" spans="1:13" x14ac:dyDescent="0.35">
      <c r="A872">
        <v>885</v>
      </c>
      <c r="B872">
        <v>65</v>
      </c>
      <c r="C872" t="s">
        <v>10</v>
      </c>
      <c r="D872" t="s">
        <v>44</v>
      </c>
      <c r="E872" t="s">
        <v>45</v>
      </c>
      <c r="F872">
        <v>4000</v>
      </c>
      <c r="G872">
        <v>63</v>
      </c>
      <c r="H872" t="s">
        <v>13</v>
      </c>
      <c r="I872" t="s">
        <v>19</v>
      </c>
      <c r="J872">
        <v>4</v>
      </c>
      <c r="K872" s="1" t="str">
        <f t="shared" si="39"/>
        <v>60-74</v>
      </c>
      <c r="L872" s="1" t="str">
        <f t="shared" si="40"/>
        <v>Medium</v>
      </c>
      <c r="M872" s="1" t="str">
        <f t="shared" si="41"/>
        <v>Yes</v>
      </c>
    </row>
    <row r="873" spans="1:13" x14ac:dyDescent="0.35">
      <c r="A873">
        <v>886</v>
      </c>
      <c r="B873">
        <v>55</v>
      </c>
      <c r="C873" t="s">
        <v>10</v>
      </c>
      <c r="D873" t="s">
        <v>11</v>
      </c>
      <c r="E873" t="s">
        <v>12</v>
      </c>
      <c r="F873">
        <v>15000</v>
      </c>
      <c r="G873">
        <v>64</v>
      </c>
      <c r="H873" t="s">
        <v>18</v>
      </c>
      <c r="I873" t="s">
        <v>14</v>
      </c>
      <c r="J873">
        <v>3</v>
      </c>
      <c r="K873" s="1" t="str">
        <f t="shared" si="39"/>
        <v>45-59</v>
      </c>
      <c r="L873" s="1" t="str">
        <f t="shared" si="40"/>
        <v>High</v>
      </c>
      <c r="M873" s="1" t="str">
        <f t="shared" si="41"/>
        <v>No</v>
      </c>
    </row>
    <row r="874" spans="1:13" x14ac:dyDescent="0.35">
      <c r="A874">
        <v>887</v>
      </c>
      <c r="B874">
        <v>62</v>
      </c>
      <c r="C874" t="s">
        <v>15</v>
      </c>
      <c r="D874" t="s">
        <v>16</v>
      </c>
      <c r="E874" t="s">
        <v>17</v>
      </c>
      <c r="F874">
        <v>2000</v>
      </c>
      <c r="G874">
        <v>62</v>
      </c>
      <c r="H874" t="s">
        <v>13</v>
      </c>
      <c r="I874" t="s">
        <v>19</v>
      </c>
      <c r="J874">
        <v>4</v>
      </c>
      <c r="K874" s="1" t="str">
        <f t="shared" si="39"/>
        <v>60-74</v>
      </c>
      <c r="L874" s="1" t="str">
        <f t="shared" si="40"/>
        <v>Medium</v>
      </c>
      <c r="M874" s="1" t="str">
        <f t="shared" si="41"/>
        <v>Yes</v>
      </c>
    </row>
    <row r="875" spans="1:13" x14ac:dyDescent="0.35">
      <c r="A875">
        <v>888</v>
      </c>
      <c r="B875">
        <v>35</v>
      </c>
      <c r="C875" t="s">
        <v>10</v>
      </c>
      <c r="D875" t="s">
        <v>20</v>
      </c>
      <c r="E875" t="s">
        <v>21</v>
      </c>
      <c r="F875">
        <v>500</v>
      </c>
      <c r="G875">
        <v>60</v>
      </c>
      <c r="H875" t="s">
        <v>18</v>
      </c>
      <c r="I875" t="s">
        <v>14</v>
      </c>
      <c r="J875">
        <v>5</v>
      </c>
      <c r="K875" s="1" t="str">
        <f t="shared" si="39"/>
        <v>30-44</v>
      </c>
      <c r="L875" s="1" t="str">
        <f t="shared" si="40"/>
        <v>Low</v>
      </c>
      <c r="M875" s="1" t="str">
        <f t="shared" si="41"/>
        <v>Yes</v>
      </c>
    </row>
    <row r="876" spans="1:13" x14ac:dyDescent="0.35">
      <c r="A876">
        <v>889</v>
      </c>
      <c r="B876">
        <v>78</v>
      </c>
      <c r="C876" t="s">
        <v>15</v>
      </c>
      <c r="D876" t="s">
        <v>22</v>
      </c>
      <c r="E876" t="s">
        <v>23</v>
      </c>
      <c r="F876">
        <v>10000</v>
      </c>
      <c r="G876">
        <v>67</v>
      </c>
      <c r="H876" t="s">
        <v>13</v>
      </c>
      <c r="I876" t="s">
        <v>19</v>
      </c>
      <c r="J876">
        <v>2</v>
      </c>
      <c r="K876" s="1" t="str">
        <f t="shared" si="39"/>
        <v>75+</v>
      </c>
      <c r="L876" s="1" t="str">
        <f t="shared" si="40"/>
        <v>High</v>
      </c>
      <c r="M876" s="1" t="str">
        <f t="shared" si="41"/>
        <v>No</v>
      </c>
    </row>
    <row r="877" spans="1:13" x14ac:dyDescent="0.35">
      <c r="A877">
        <v>890</v>
      </c>
      <c r="B877">
        <v>53</v>
      </c>
      <c r="C877" t="s">
        <v>10</v>
      </c>
      <c r="D877" t="s">
        <v>24</v>
      </c>
      <c r="E877" t="s">
        <v>25</v>
      </c>
      <c r="F877">
        <v>25000</v>
      </c>
      <c r="G877">
        <v>69</v>
      </c>
      <c r="H877" t="s">
        <v>18</v>
      </c>
      <c r="I877" t="s">
        <v>14</v>
      </c>
      <c r="J877">
        <v>4</v>
      </c>
      <c r="K877" s="1" t="str">
        <f t="shared" si="39"/>
        <v>45-59</v>
      </c>
      <c r="L877" s="1" t="str">
        <f t="shared" si="40"/>
        <v>High</v>
      </c>
      <c r="M877" s="1" t="str">
        <f t="shared" si="41"/>
        <v>Yes</v>
      </c>
    </row>
    <row r="878" spans="1:13" x14ac:dyDescent="0.35">
      <c r="A878">
        <v>891</v>
      </c>
      <c r="B878">
        <v>72</v>
      </c>
      <c r="C878" t="s">
        <v>15</v>
      </c>
      <c r="D878" t="s">
        <v>26</v>
      </c>
      <c r="E878" t="s">
        <v>27</v>
      </c>
      <c r="F878">
        <v>1000</v>
      </c>
      <c r="G878">
        <v>63</v>
      </c>
      <c r="H878" t="s">
        <v>13</v>
      </c>
      <c r="I878" t="s">
        <v>19</v>
      </c>
      <c r="J878">
        <v>4</v>
      </c>
      <c r="K878" s="1" t="str">
        <f t="shared" si="39"/>
        <v>60-74</v>
      </c>
      <c r="L878" s="1" t="str">
        <f t="shared" si="40"/>
        <v>Low</v>
      </c>
      <c r="M878" s="1" t="str">
        <f t="shared" si="41"/>
        <v>Yes</v>
      </c>
    </row>
    <row r="879" spans="1:13" x14ac:dyDescent="0.35">
      <c r="A879">
        <v>892</v>
      </c>
      <c r="B879">
        <v>60</v>
      </c>
      <c r="C879" t="s">
        <v>10</v>
      </c>
      <c r="D879" t="s">
        <v>28</v>
      </c>
      <c r="E879" t="s">
        <v>29</v>
      </c>
      <c r="F879">
        <v>8000</v>
      </c>
      <c r="G879">
        <v>65</v>
      </c>
      <c r="H879" t="s">
        <v>18</v>
      </c>
      <c r="I879" t="s">
        <v>14</v>
      </c>
      <c r="J879">
        <v>3</v>
      </c>
      <c r="K879" s="1" t="str">
        <f t="shared" si="39"/>
        <v>60-74</v>
      </c>
      <c r="L879" s="1" t="str">
        <f t="shared" si="40"/>
        <v>Medium</v>
      </c>
      <c r="M879" s="1" t="str">
        <f t="shared" si="41"/>
        <v>No</v>
      </c>
    </row>
    <row r="880" spans="1:13" x14ac:dyDescent="0.35">
      <c r="A880">
        <v>893</v>
      </c>
      <c r="B880">
        <v>45</v>
      </c>
      <c r="C880" t="s">
        <v>15</v>
      </c>
      <c r="D880" t="s">
        <v>30</v>
      </c>
      <c r="E880" t="s">
        <v>31</v>
      </c>
      <c r="F880">
        <v>3000</v>
      </c>
      <c r="G880">
        <v>65</v>
      </c>
      <c r="H880" t="s">
        <v>13</v>
      </c>
      <c r="I880" t="s">
        <v>14</v>
      </c>
      <c r="J880">
        <v>4</v>
      </c>
      <c r="K880" s="1" t="str">
        <f t="shared" si="39"/>
        <v>45-59</v>
      </c>
      <c r="L880" s="1" t="str">
        <f t="shared" si="40"/>
        <v>Medium</v>
      </c>
      <c r="M880" s="1" t="str">
        <f t="shared" si="41"/>
        <v>Yes</v>
      </c>
    </row>
    <row r="881" spans="1:13" x14ac:dyDescent="0.35">
      <c r="A881">
        <v>894</v>
      </c>
      <c r="B881">
        <v>75</v>
      </c>
      <c r="C881" t="s">
        <v>10</v>
      </c>
      <c r="D881" t="s">
        <v>32</v>
      </c>
      <c r="E881" t="s">
        <v>33</v>
      </c>
      <c r="F881">
        <v>18000</v>
      </c>
      <c r="G881">
        <v>67</v>
      </c>
      <c r="H881" t="s">
        <v>18</v>
      </c>
      <c r="I881" t="s">
        <v>19</v>
      </c>
      <c r="J881">
        <v>2</v>
      </c>
      <c r="K881" s="1" t="str">
        <f t="shared" si="39"/>
        <v>75+</v>
      </c>
      <c r="L881" s="1" t="str">
        <f t="shared" si="40"/>
        <v>High</v>
      </c>
      <c r="M881" s="1" t="str">
        <f t="shared" si="41"/>
        <v>No</v>
      </c>
    </row>
    <row r="882" spans="1:13" x14ac:dyDescent="0.35">
      <c r="A882">
        <v>895</v>
      </c>
      <c r="B882">
        <v>28</v>
      </c>
      <c r="C882" t="s">
        <v>15</v>
      </c>
      <c r="D882" t="s">
        <v>34</v>
      </c>
      <c r="E882" t="s">
        <v>35</v>
      </c>
      <c r="F882">
        <v>100</v>
      </c>
      <c r="G882">
        <v>60</v>
      </c>
      <c r="H882" t="s">
        <v>13</v>
      </c>
      <c r="I882" t="s">
        <v>14</v>
      </c>
      <c r="J882">
        <v>5</v>
      </c>
      <c r="K882" s="1" t="str">
        <f t="shared" si="39"/>
        <v>18-29</v>
      </c>
      <c r="L882" s="1" t="str">
        <f t="shared" si="40"/>
        <v>Low</v>
      </c>
      <c r="M882" s="1" t="str">
        <f t="shared" si="41"/>
        <v>Yes</v>
      </c>
    </row>
    <row r="883" spans="1:13" x14ac:dyDescent="0.35">
      <c r="A883">
        <v>896</v>
      </c>
      <c r="B883">
        <v>52</v>
      </c>
      <c r="C883" t="s">
        <v>10</v>
      </c>
      <c r="D883" t="s">
        <v>36</v>
      </c>
      <c r="E883" t="s">
        <v>37</v>
      </c>
      <c r="F883">
        <v>800</v>
      </c>
      <c r="G883">
        <v>61</v>
      </c>
      <c r="H883" t="s">
        <v>13</v>
      </c>
      <c r="I883" t="s">
        <v>19</v>
      </c>
      <c r="J883">
        <v>4</v>
      </c>
      <c r="K883" s="1" t="str">
        <f t="shared" si="39"/>
        <v>45-59</v>
      </c>
      <c r="L883" s="1" t="str">
        <f t="shared" si="40"/>
        <v>Low</v>
      </c>
      <c r="M883" s="1" t="str">
        <f t="shared" si="41"/>
        <v>Yes</v>
      </c>
    </row>
    <row r="884" spans="1:13" x14ac:dyDescent="0.35">
      <c r="A884">
        <v>897</v>
      </c>
      <c r="B884">
        <v>67</v>
      </c>
      <c r="C884" t="s">
        <v>15</v>
      </c>
      <c r="D884" t="s">
        <v>38</v>
      </c>
      <c r="E884" t="s">
        <v>39</v>
      </c>
      <c r="F884">
        <v>20000</v>
      </c>
      <c r="G884">
        <v>68</v>
      </c>
      <c r="H884" t="s">
        <v>13</v>
      </c>
      <c r="I884" t="s">
        <v>14</v>
      </c>
      <c r="J884">
        <v>3</v>
      </c>
      <c r="K884" s="1" t="str">
        <f t="shared" si="39"/>
        <v>60-74</v>
      </c>
      <c r="L884" s="1" t="str">
        <f t="shared" si="40"/>
        <v>High</v>
      </c>
      <c r="M884" s="1" t="str">
        <f t="shared" si="41"/>
        <v>No</v>
      </c>
    </row>
    <row r="885" spans="1:13" x14ac:dyDescent="0.35">
      <c r="A885">
        <v>898</v>
      </c>
      <c r="B885">
        <v>35</v>
      </c>
      <c r="C885" t="s">
        <v>10</v>
      </c>
      <c r="D885" t="s">
        <v>40</v>
      </c>
      <c r="E885" t="s">
        <v>41</v>
      </c>
      <c r="F885">
        <v>12000</v>
      </c>
      <c r="G885">
        <v>62</v>
      </c>
      <c r="H885" t="s">
        <v>13</v>
      </c>
      <c r="I885" t="s">
        <v>14</v>
      </c>
      <c r="J885">
        <v>4</v>
      </c>
      <c r="K885" s="1" t="str">
        <f t="shared" si="39"/>
        <v>30-44</v>
      </c>
      <c r="L885" s="1" t="str">
        <f t="shared" si="40"/>
        <v>High</v>
      </c>
      <c r="M885" s="1" t="str">
        <f t="shared" si="41"/>
        <v>Yes</v>
      </c>
    </row>
    <row r="886" spans="1:13" x14ac:dyDescent="0.35">
      <c r="A886">
        <v>899</v>
      </c>
      <c r="B886">
        <v>50</v>
      </c>
      <c r="C886" t="s">
        <v>15</v>
      </c>
      <c r="D886" t="s">
        <v>42</v>
      </c>
      <c r="E886" t="s">
        <v>43</v>
      </c>
      <c r="F886">
        <v>6000</v>
      </c>
      <c r="G886">
        <v>63</v>
      </c>
      <c r="H886" t="s">
        <v>13</v>
      </c>
      <c r="I886" t="s">
        <v>14</v>
      </c>
      <c r="J886">
        <v>3</v>
      </c>
      <c r="K886" s="1" t="str">
        <f t="shared" si="39"/>
        <v>45-59</v>
      </c>
      <c r="L886" s="1" t="str">
        <f t="shared" si="40"/>
        <v>Medium</v>
      </c>
      <c r="M886" s="1" t="str">
        <f t="shared" si="41"/>
        <v>No</v>
      </c>
    </row>
    <row r="887" spans="1:13" x14ac:dyDescent="0.35">
      <c r="A887">
        <v>900</v>
      </c>
      <c r="B887">
        <v>60</v>
      </c>
      <c r="C887" t="s">
        <v>10</v>
      </c>
      <c r="D887" t="s">
        <v>44</v>
      </c>
      <c r="E887" t="s">
        <v>45</v>
      </c>
      <c r="F887">
        <v>4000</v>
      </c>
      <c r="G887">
        <v>64</v>
      </c>
      <c r="H887" t="s">
        <v>13</v>
      </c>
      <c r="I887" t="s">
        <v>19</v>
      </c>
      <c r="J887">
        <v>4</v>
      </c>
      <c r="K887" s="1" t="str">
        <f t="shared" si="39"/>
        <v>60-74</v>
      </c>
      <c r="L887" s="1" t="str">
        <f t="shared" si="40"/>
        <v>Medium</v>
      </c>
      <c r="M887" s="1" t="str">
        <f t="shared" si="41"/>
        <v>Yes</v>
      </c>
    </row>
    <row r="888" spans="1:13" x14ac:dyDescent="0.35">
      <c r="A888">
        <v>901</v>
      </c>
      <c r="B888">
        <v>48</v>
      </c>
      <c r="C888" t="s">
        <v>10</v>
      </c>
      <c r="D888" t="s">
        <v>11</v>
      </c>
      <c r="E888" t="s">
        <v>12</v>
      </c>
      <c r="F888">
        <v>15000</v>
      </c>
      <c r="G888">
        <v>65</v>
      </c>
      <c r="H888" t="s">
        <v>18</v>
      </c>
      <c r="I888" t="s">
        <v>14</v>
      </c>
      <c r="J888">
        <v>4</v>
      </c>
      <c r="K888" s="1" t="str">
        <f t="shared" si="39"/>
        <v>45-59</v>
      </c>
      <c r="L888" s="1" t="str">
        <f t="shared" si="40"/>
        <v>High</v>
      </c>
      <c r="M888" s="1" t="str">
        <f t="shared" si="41"/>
        <v>Yes</v>
      </c>
    </row>
    <row r="889" spans="1:13" x14ac:dyDescent="0.35">
      <c r="A889">
        <v>902</v>
      </c>
      <c r="B889">
        <v>65</v>
      </c>
      <c r="C889" t="s">
        <v>15</v>
      </c>
      <c r="D889" t="s">
        <v>16</v>
      </c>
      <c r="E889" t="s">
        <v>17</v>
      </c>
      <c r="F889">
        <v>2000</v>
      </c>
      <c r="G889">
        <v>63</v>
      </c>
      <c r="H889" t="s">
        <v>13</v>
      </c>
      <c r="I889" t="s">
        <v>19</v>
      </c>
      <c r="J889">
        <v>3</v>
      </c>
      <c r="K889" s="1" t="str">
        <f t="shared" si="39"/>
        <v>60-74</v>
      </c>
      <c r="L889" s="1" t="str">
        <f t="shared" si="40"/>
        <v>Medium</v>
      </c>
      <c r="M889" s="1" t="str">
        <f t="shared" si="41"/>
        <v>No</v>
      </c>
    </row>
    <row r="890" spans="1:13" x14ac:dyDescent="0.35">
      <c r="A890">
        <v>903</v>
      </c>
      <c r="B890">
        <v>30</v>
      </c>
      <c r="C890" t="s">
        <v>10</v>
      </c>
      <c r="D890" t="s">
        <v>20</v>
      </c>
      <c r="E890" t="s">
        <v>21</v>
      </c>
      <c r="F890">
        <v>500</v>
      </c>
      <c r="G890">
        <v>61</v>
      </c>
      <c r="H890" t="s">
        <v>13</v>
      </c>
      <c r="I890" t="s">
        <v>14</v>
      </c>
      <c r="J890">
        <v>5</v>
      </c>
      <c r="K890" s="1" t="str">
        <f t="shared" si="39"/>
        <v>30-44</v>
      </c>
      <c r="L890" s="1" t="str">
        <f t="shared" si="40"/>
        <v>Low</v>
      </c>
      <c r="M890" s="1" t="str">
        <f t="shared" si="41"/>
        <v>Yes</v>
      </c>
    </row>
    <row r="891" spans="1:13" x14ac:dyDescent="0.35">
      <c r="A891">
        <v>904</v>
      </c>
      <c r="B891">
        <v>70</v>
      </c>
      <c r="C891" t="s">
        <v>15</v>
      </c>
      <c r="D891" t="s">
        <v>22</v>
      </c>
      <c r="E891" t="s">
        <v>23</v>
      </c>
      <c r="F891">
        <v>10000</v>
      </c>
      <c r="G891">
        <v>68</v>
      </c>
      <c r="H891" t="s">
        <v>18</v>
      </c>
      <c r="I891" t="s">
        <v>19</v>
      </c>
      <c r="J891">
        <v>2</v>
      </c>
      <c r="K891" s="1" t="str">
        <f t="shared" si="39"/>
        <v>60-74</v>
      </c>
      <c r="L891" s="1" t="str">
        <f t="shared" si="40"/>
        <v>High</v>
      </c>
      <c r="M891" s="1" t="str">
        <f t="shared" si="41"/>
        <v>No</v>
      </c>
    </row>
    <row r="892" spans="1:13" x14ac:dyDescent="0.35">
      <c r="A892">
        <v>905</v>
      </c>
      <c r="B892">
        <v>55</v>
      </c>
      <c r="C892" t="s">
        <v>10</v>
      </c>
      <c r="D892" t="s">
        <v>24</v>
      </c>
      <c r="E892" t="s">
        <v>25</v>
      </c>
      <c r="F892">
        <v>25000</v>
      </c>
      <c r="G892">
        <v>70</v>
      </c>
      <c r="H892" t="s">
        <v>13</v>
      </c>
      <c r="I892" t="s">
        <v>14</v>
      </c>
      <c r="J892">
        <v>4</v>
      </c>
      <c r="K892" s="1" t="str">
        <f t="shared" si="39"/>
        <v>45-59</v>
      </c>
      <c r="L892" s="1" t="str">
        <f t="shared" si="40"/>
        <v>High</v>
      </c>
      <c r="M892" s="1" t="str">
        <f t="shared" si="41"/>
        <v>Yes</v>
      </c>
    </row>
    <row r="893" spans="1:13" x14ac:dyDescent="0.35">
      <c r="A893">
        <v>907</v>
      </c>
      <c r="B893">
        <v>45</v>
      </c>
      <c r="C893" t="s">
        <v>10</v>
      </c>
      <c r="D893" t="s">
        <v>28</v>
      </c>
      <c r="E893" t="s">
        <v>29</v>
      </c>
      <c r="F893">
        <v>8000</v>
      </c>
      <c r="G893">
        <v>66</v>
      </c>
      <c r="H893" t="s">
        <v>13</v>
      </c>
      <c r="I893" t="s">
        <v>14</v>
      </c>
      <c r="J893">
        <v>3</v>
      </c>
      <c r="K893" s="1" t="str">
        <f t="shared" si="39"/>
        <v>45-59</v>
      </c>
      <c r="L893" s="1" t="str">
        <f t="shared" si="40"/>
        <v>Medium</v>
      </c>
      <c r="M893" s="1" t="str">
        <f t="shared" si="41"/>
        <v>No</v>
      </c>
    </row>
    <row r="894" spans="1:13" x14ac:dyDescent="0.35">
      <c r="A894">
        <v>908</v>
      </c>
      <c r="B894">
        <v>40</v>
      </c>
      <c r="C894" t="s">
        <v>15</v>
      </c>
      <c r="D894" t="s">
        <v>30</v>
      </c>
      <c r="E894" t="s">
        <v>31</v>
      </c>
      <c r="F894">
        <v>3000</v>
      </c>
      <c r="G894">
        <v>66</v>
      </c>
      <c r="H894" t="s">
        <v>13</v>
      </c>
      <c r="I894" t="s">
        <v>14</v>
      </c>
      <c r="J894">
        <v>4</v>
      </c>
      <c r="K894" s="1" t="str">
        <f t="shared" si="39"/>
        <v>30-44</v>
      </c>
      <c r="L894" s="1" t="str">
        <f t="shared" si="40"/>
        <v>Medium</v>
      </c>
      <c r="M894" s="1" t="str">
        <f t="shared" si="41"/>
        <v>Yes</v>
      </c>
    </row>
    <row r="895" spans="1:13" x14ac:dyDescent="0.35">
      <c r="A895">
        <v>909</v>
      </c>
      <c r="B895">
        <v>78</v>
      </c>
      <c r="C895" t="s">
        <v>10</v>
      </c>
      <c r="D895" t="s">
        <v>32</v>
      </c>
      <c r="E895" t="s">
        <v>33</v>
      </c>
      <c r="F895">
        <v>18000</v>
      </c>
      <c r="G895">
        <v>68</v>
      </c>
      <c r="H895" t="s">
        <v>18</v>
      </c>
      <c r="I895" t="s">
        <v>19</v>
      </c>
      <c r="J895">
        <v>2</v>
      </c>
      <c r="K895" s="1" t="str">
        <f t="shared" si="39"/>
        <v>75+</v>
      </c>
      <c r="L895" s="1" t="str">
        <f t="shared" si="40"/>
        <v>High</v>
      </c>
      <c r="M895" s="1" t="str">
        <f t="shared" si="41"/>
        <v>No</v>
      </c>
    </row>
    <row r="896" spans="1:13" x14ac:dyDescent="0.35">
      <c r="A896">
        <v>910</v>
      </c>
      <c r="B896">
        <v>25</v>
      </c>
      <c r="C896" t="s">
        <v>15</v>
      </c>
      <c r="D896" t="s">
        <v>34</v>
      </c>
      <c r="E896" t="s">
        <v>35</v>
      </c>
      <c r="F896">
        <v>100</v>
      </c>
      <c r="G896">
        <v>61</v>
      </c>
      <c r="H896" t="s">
        <v>13</v>
      </c>
      <c r="I896" t="s">
        <v>14</v>
      </c>
      <c r="J896">
        <v>5</v>
      </c>
      <c r="K896" s="1" t="str">
        <f t="shared" si="39"/>
        <v>18-29</v>
      </c>
      <c r="L896" s="1" t="str">
        <f t="shared" si="40"/>
        <v>Low</v>
      </c>
      <c r="M896" s="1" t="str">
        <f t="shared" si="41"/>
        <v>Yes</v>
      </c>
    </row>
    <row r="897" spans="1:13" x14ac:dyDescent="0.35">
      <c r="A897">
        <v>911</v>
      </c>
      <c r="B897">
        <v>52</v>
      </c>
      <c r="C897" t="s">
        <v>10</v>
      </c>
      <c r="D897" t="s">
        <v>36</v>
      </c>
      <c r="E897" t="s">
        <v>37</v>
      </c>
      <c r="F897">
        <v>800</v>
      </c>
      <c r="G897">
        <v>62</v>
      </c>
      <c r="H897" t="s">
        <v>13</v>
      </c>
      <c r="I897" t="s">
        <v>19</v>
      </c>
      <c r="J897">
        <v>4</v>
      </c>
      <c r="K897" s="1" t="str">
        <f t="shared" si="39"/>
        <v>45-59</v>
      </c>
      <c r="L897" s="1" t="str">
        <f t="shared" si="40"/>
        <v>Low</v>
      </c>
      <c r="M897" s="1" t="str">
        <f t="shared" si="41"/>
        <v>Yes</v>
      </c>
    </row>
    <row r="898" spans="1:13" x14ac:dyDescent="0.35">
      <c r="A898">
        <v>912</v>
      </c>
      <c r="B898">
        <v>58</v>
      </c>
      <c r="C898" t="s">
        <v>15</v>
      </c>
      <c r="D898" t="s">
        <v>38</v>
      </c>
      <c r="E898" t="s">
        <v>39</v>
      </c>
      <c r="F898">
        <v>20000</v>
      </c>
      <c r="G898">
        <v>69</v>
      </c>
      <c r="H898" t="s">
        <v>13</v>
      </c>
      <c r="I898" t="s">
        <v>14</v>
      </c>
      <c r="J898">
        <v>3</v>
      </c>
      <c r="K898" s="1" t="str">
        <f t="shared" si="39"/>
        <v>45-59</v>
      </c>
      <c r="L898" s="1" t="str">
        <f t="shared" si="40"/>
        <v>High</v>
      </c>
      <c r="M898" s="1" t="str">
        <f t="shared" si="41"/>
        <v>No</v>
      </c>
    </row>
    <row r="899" spans="1:13" x14ac:dyDescent="0.35">
      <c r="A899">
        <v>913</v>
      </c>
      <c r="B899">
        <v>32</v>
      </c>
      <c r="C899" t="s">
        <v>10</v>
      </c>
      <c r="D899" t="s">
        <v>40</v>
      </c>
      <c r="E899" t="s">
        <v>41</v>
      </c>
      <c r="F899">
        <v>12000</v>
      </c>
      <c r="G899">
        <v>63</v>
      </c>
      <c r="H899" t="s">
        <v>13</v>
      </c>
      <c r="I899" t="s">
        <v>14</v>
      </c>
      <c r="J899">
        <v>4</v>
      </c>
      <c r="K899" s="1" t="str">
        <f t="shared" ref="K899:K962" si="42">IF(B899&lt;30,"18-29",IF(B899&lt;45,"30-44",IF(B899&lt;60,"45-59",IF(B899&lt;75,"60-74","75+"))))</f>
        <v>30-44</v>
      </c>
      <c r="L899" s="1" t="str">
        <f t="shared" ref="L899:L962" si="43">IF(F899&lt;=1000,"Low",IF(F899&lt;=8000,"Medium","High"))</f>
        <v>High</v>
      </c>
      <c r="M899" s="1" t="str">
        <f t="shared" ref="M899:M962" si="44">IF(J899&gt;=4,"Yes","No")</f>
        <v>Yes</v>
      </c>
    </row>
    <row r="900" spans="1:13" x14ac:dyDescent="0.35">
      <c r="A900">
        <v>914</v>
      </c>
      <c r="B900">
        <v>55</v>
      </c>
      <c r="C900" t="s">
        <v>15</v>
      </c>
      <c r="D900" t="s">
        <v>42</v>
      </c>
      <c r="E900" t="s">
        <v>43</v>
      </c>
      <c r="F900">
        <v>6000</v>
      </c>
      <c r="G900">
        <v>64</v>
      </c>
      <c r="H900" t="s">
        <v>13</v>
      </c>
      <c r="I900" t="s">
        <v>14</v>
      </c>
      <c r="J900">
        <v>3</v>
      </c>
      <c r="K900" s="1" t="str">
        <f t="shared" si="42"/>
        <v>45-59</v>
      </c>
      <c r="L900" s="1" t="str">
        <f t="shared" si="43"/>
        <v>Medium</v>
      </c>
      <c r="M900" s="1" t="str">
        <f t="shared" si="44"/>
        <v>No</v>
      </c>
    </row>
    <row r="901" spans="1:13" x14ac:dyDescent="0.35">
      <c r="A901">
        <v>915</v>
      </c>
      <c r="B901">
        <v>65</v>
      </c>
      <c r="C901" t="s">
        <v>10</v>
      </c>
      <c r="D901" t="s">
        <v>44</v>
      </c>
      <c r="E901" t="s">
        <v>45</v>
      </c>
      <c r="F901">
        <v>4000</v>
      </c>
      <c r="G901">
        <v>65</v>
      </c>
      <c r="H901" t="s">
        <v>13</v>
      </c>
      <c r="I901" t="s">
        <v>19</v>
      </c>
      <c r="J901">
        <v>4</v>
      </c>
      <c r="K901" s="1" t="str">
        <f t="shared" si="42"/>
        <v>60-74</v>
      </c>
      <c r="L901" s="1" t="str">
        <f t="shared" si="43"/>
        <v>Medium</v>
      </c>
      <c r="M901" s="1" t="str">
        <f t="shared" si="44"/>
        <v>Yes</v>
      </c>
    </row>
    <row r="902" spans="1:13" x14ac:dyDescent="0.35">
      <c r="A902">
        <v>916</v>
      </c>
      <c r="B902">
        <v>55</v>
      </c>
      <c r="C902" t="s">
        <v>10</v>
      </c>
      <c r="D902" t="s">
        <v>11</v>
      </c>
      <c r="E902" t="s">
        <v>12</v>
      </c>
      <c r="F902">
        <v>15000</v>
      </c>
      <c r="G902">
        <v>66</v>
      </c>
      <c r="H902" t="s">
        <v>18</v>
      </c>
      <c r="I902" t="s">
        <v>14</v>
      </c>
      <c r="J902">
        <v>3</v>
      </c>
      <c r="K902" s="1" t="str">
        <f t="shared" si="42"/>
        <v>45-59</v>
      </c>
      <c r="L902" s="1" t="str">
        <f t="shared" si="43"/>
        <v>High</v>
      </c>
      <c r="M902" s="1" t="str">
        <f t="shared" si="44"/>
        <v>No</v>
      </c>
    </row>
    <row r="903" spans="1:13" x14ac:dyDescent="0.35">
      <c r="A903">
        <v>917</v>
      </c>
      <c r="B903">
        <v>62</v>
      </c>
      <c r="C903" t="s">
        <v>15</v>
      </c>
      <c r="D903" t="s">
        <v>16</v>
      </c>
      <c r="E903" t="s">
        <v>17</v>
      </c>
      <c r="F903">
        <v>2000</v>
      </c>
      <c r="G903">
        <v>64</v>
      </c>
      <c r="H903" t="s">
        <v>13</v>
      </c>
      <c r="I903" t="s">
        <v>19</v>
      </c>
      <c r="J903">
        <v>4</v>
      </c>
      <c r="K903" s="1" t="str">
        <f t="shared" si="42"/>
        <v>60-74</v>
      </c>
      <c r="L903" s="1" t="str">
        <f t="shared" si="43"/>
        <v>Medium</v>
      </c>
      <c r="M903" s="1" t="str">
        <f t="shared" si="44"/>
        <v>Yes</v>
      </c>
    </row>
    <row r="904" spans="1:13" x14ac:dyDescent="0.35">
      <c r="A904">
        <v>918</v>
      </c>
      <c r="B904">
        <v>35</v>
      </c>
      <c r="C904" t="s">
        <v>10</v>
      </c>
      <c r="D904" t="s">
        <v>20</v>
      </c>
      <c r="E904" t="s">
        <v>21</v>
      </c>
      <c r="F904">
        <v>500</v>
      </c>
      <c r="G904">
        <v>62</v>
      </c>
      <c r="H904" t="s">
        <v>18</v>
      </c>
      <c r="I904" t="s">
        <v>14</v>
      </c>
      <c r="J904">
        <v>5</v>
      </c>
      <c r="K904" s="1" t="str">
        <f t="shared" si="42"/>
        <v>30-44</v>
      </c>
      <c r="L904" s="1" t="str">
        <f t="shared" si="43"/>
        <v>Low</v>
      </c>
      <c r="M904" s="1" t="str">
        <f t="shared" si="44"/>
        <v>Yes</v>
      </c>
    </row>
    <row r="905" spans="1:13" x14ac:dyDescent="0.35">
      <c r="A905">
        <v>919</v>
      </c>
      <c r="B905">
        <v>78</v>
      </c>
      <c r="C905" t="s">
        <v>15</v>
      </c>
      <c r="D905" t="s">
        <v>22</v>
      </c>
      <c r="E905" t="s">
        <v>23</v>
      </c>
      <c r="F905">
        <v>10000</v>
      </c>
      <c r="G905">
        <v>69</v>
      </c>
      <c r="H905" t="s">
        <v>13</v>
      </c>
      <c r="I905" t="s">
        <v>19</v>
      </c>
      <c r="J905">
        <v>2</v>
      </c>
      <c r="K905" s="1" t="str">
        <f t="shared" si="42"/>
        <v>75+</v>
      </c>
      <c r="L905" s="1" t="str">
        <f t="shared" si="43"/>
        <v>High</v>
      </c>
      <c r="M905" s="1" t="str">
        <f t="shared" si="44"/>
        <v>No</v>
      </c>
    </row>
    <row r="906" spans="1:13" x14ac:dyDescent="0.35">
      <c r="A906">
        <v>920</v>
      </c>
      <c r="B906">
        <v>53</v>
      </c>
      <c r="C906" t="s">
        <v>10</v>
      </c>
      <c r="D906" t="s">
        <v>24</v>
      </c>
      <c r="E906" t="s">
        <v>25</v>
      </c>
      <c r="F906">
        <v>25000</v>
      </c>
      <c r="G906">
        <v>71</v>
      </c>
      <c r="H906" t="s">
        <v>18</v>
      </c>
      <c r="I906" t="s">
        <v>14</v>
      </c>
      <c r="J906">
        <v>4</v>
      </c>
      <c r="K906" s="1" t="str">
        <f t="shared" si="42"/>
        <v>45-59</v>
      </c>
      <c r="L906" s="1" t="str">
        <f t="shared" si="43"/>
        <v>High</v>
      </c>
      <c r="M906" s="1" t="str">
        <f t="shared" si="44"/>
        <v>Yes</v>
      </c>
    </row>
    <row r="907" spans="1:13" x14ac:dyDescent="0.35">
      <c r="A907">
        <v>921</v>
      </c>
      <c r="B907">
        <v>72</v>
      </c>
      <c r="C907" t="s">
        <v>15</v>
      </c>
      <c r="D907" t="s">
        <v>26</v>
      </c>
      <c r="E907" t="s">
        <v>27</v>
      </c>
      <c r="F907">
        <v>1000</v>
      </c>
      <c r="G907">
        <v>65</v>
      </c>
      <c r="H907" t="s">
        <v>13</v>
      </c>
      <c r="I907" t="s">
        <v>19</v>
      </c>
      <c r="J907">
        <v>4</v>
      </c>
      <c r="K907" s="1" t="str">
        <f t="shared" si="42"/>
        <v>60-74</v>
      </c>
      <c r="L907" s="1" t="str">
        <f t="shared" si="43"/>
        <v>Low</v>
      </c>
      <c r="M907" s="1" t="str">
        <f t="shared" si="44"/>
        <v>Yes</v>
      </c>
    </row>
    <row r="908" spans="1:13" x14ac:dyDescent="0.35">
      <c r="A908">
        <v>922</v>
      </c>
      <c r="B908">
        <v>60</v>
      </c>
      <c r="C908" t="s">
        <v>10</v>
      </c>
      <c r="D908" t="s">
        <v>28</v>
      </c>
      <c r="E908" t="s">
        <v>29</v>
      </c>
      <c r="F908">
        <v>8000</v>
      </c>
      <c r="G908">
        <v>67</v>
      </c>
      <c r="H908" t="s">
        <v>18</v>
      </c>
      <c r="I908" t="s">
        <v>14</v>
      </c>
      <c r="J908">
        <v>3</v>
      </c>
      <c r="K908" s="1" t="str">
        <f t="shared" si="42"/>
        <v>60-74</v>
      </c>
      <c r="L908" s="1" t="str">
        <f t="shared" si="43"/>
        <v>Medium</v>
      </c>
      <c r="M908" s="1" t="str">
        <f t="shared" si="44"/>
        <v>No</v>
      </c>
    </row>
    <row r="909" spans="1:13" x14ac:dyDescent="0.35">
      <c r="A909">
        <v>923</v>
      </c>
      <c r="B909">
        <v>45</v>
      </c>
      <c r="C909" t="s">
        <v>15</v>
      </c>
      <c r="D909" t="s">
        <v>30</v>
      </c>
      <c r="E909" t="s">
        <v>31</v>
      </c>
      <c r="F909">
        <v>3000</v>
      </c>
      <c r="G909">
        <v>67</v>
      </c>
      <c r="H909" t="s">
        <v>13</v>
      </c>
      <c r="I909" t="s">
        <v>14</v>
      </c>
      <c r="J909">
        <v>4</v>
      </c>
      <c r="K909" s="1" t="str">
        <f t="shared" si="42"/>
        <v>45-59</v>
      </c>
      <c r="L909" s="1" t="str">
        <f t="shared" si="43"/>
        <v>Medium</v>
      </c>
      <c r="M909" s="1" t="str">
        <f t="shared" si="44"/>
        <v>Yes</v>
      </c>
    </row>
    <row r="910" spans="1:13" x14ac:dyDescent="0.35">
      <c r="A910">
        <v>924</v>
      </c>
      <c r="B910">
        <v>75</v>
      </c>
      <c r="C910" t="s">
        <v>10</v>
      </c>
      <c r="D910" t="s">
        <v>32</v>
      </c>
      <c r="E910" t="s">
        <v>33</v>
      </c>
      <c r="F910">
        <v>18000</v>
      </c>
      <c r="G910">
        <v>69</v>
      </c>
      <c r="H910" t="s">
        <v>18</v>
      </c>
      <c r="I910" t="s">
        <v>19</v>
      </c>
      <c r="J910">
        <v>2</v>
      </c>
      <c r="K910" s="1" t="str">
        <f t="shared" si="42"/>
        <v>75+</v>
      </c>
      <c r="L910" s="1" t="str">
        <f t="shared" si="43"/>
        <v>High</v>
      </c>
      <c r="M910" s="1" t="str">
        <f t="shared" si="44"/>
        <v>No</v>
      </c>
    </row>
    <row r="911" spans="1:13" x14ac:dyDescent="0.35">
      <c r="A911">
        <v>925</v>
      </c>
      <c r="B911">
        <v>28</v>
      </c>
      <c r="C911" t="s">
        <v>15</v>
      </c>
      <c r="D911" t="s">
        <v>34</v>
      </c>
      <c r="E911" t="s">
        <v>35</v>
      </c>
      <c r="F911">
        <v>100</v>
      </c>
      <c r="G911">
        <v>62</v>
      </c>
      <c r="H911" t="s">
        <v>13</v>
      </c>
      <c r="I911" t="s">
        <v>14</v>
      </c>
      <c r="J911">
        <v>5</v>
      </c>
      <c r="K911" s="1" t="str">
        <f t="shared" si="42"/>
        <v>18-29</v>
      </c>
      <c r="L911" s="1" t="str">
        <f t="shared" si="43"/>
        <v>Low</v>
      </c>
      <c r="M911" s="1" t="str">
        <f t="shared" si="44"/>
        <v>Yes</v>
      </c>
    </row>
    <row r="912" spans="1:13" x14ac:dyDescent="0.35">
      <c r="A912">
        <v>926</v>
      </c>
      <c r="B912">
        <v>52</v>
      </c>
      <c r="C912" t="s">
        <v>10</v>
      </c>
      <c r="D912" t="s">
        <v>36</v>
      </c>
      <c r="E912" t="s">
        <v>37</v>
      </c>
      <c r="F912">
        <v>800</v>
      </c>
      <c r="G912">
        <v>63</v>
      </c>
      <c r="H912" t="s">
        <v>13</v>
      </c>
      <c r="I912" t="s">
        <v>19</v>
      </c>
      <c r="J912">
        <v>4</v>
      </c>
      <c r="K912" s="1" t="str">
        <f t="shared" si="42"/>
        <v>45-59</v>
      </c>
      <c r="L912" s="1" t="str">
        <f t="shared" si="43"/>
        <v>Low</v>
      </c>
      <c r="M912" s="1" t="str">
        <f t="shared" si="44"/>
        <v>Yes</v>
      </c>
    </row>
    <row r="913" spans="1:13" x14ac:dyDescent="0.35">
      <c r="A913">
        <v>927</v>
      </c>
      <c r="B913">
        <v>67</v>
      </c>
      <c r="C913" t="s">
        <v>15</v>
      </c>
      <c r="D913" t="s">
        <v>38</v>
      </c>
      <c r="E913" t="s">
        <v>39</v>
      </c>
      <c r="F913">
        <v>20000</v>
      </c>
      <c r="G913">
        <v>70</v>
      </c>
      <c r="H913" t="s">
        <v>13</v>
      </c>
      <c r="I913" t="s">
        <v>14</v>
      </c>
      <c r="J913">
        <v>3</v>
      </c>
      <c r="K913" s="1" t="str">
        <f t="shared" si="42"/>
        <v>60-74</v>
      </c>
      <c r="L913" s="1" t="str">
        <f t="shared" si="43"/>
        <v>High</v>
      </c>
      <c r="M913" s="1" t="str">
        <f t="shared" si="44"/>
        <v>No</v>
      </c>
    </row>
    <row r="914" spans="1:13" x14ac:dyDescent="0.35">
      <c r="A914">
        <v>928</v>
      </c>
      <c r="B914">
        <v>35</v>
      </c>
      <c r="C914" t="s">
        <v>10</v>
      </c>
      <c r="D914" t="s">
        <v>40</v>
      </c>
      <c r="E914" t="s">
        <v>41</v>
      </c>
      <c r="F914">
        <v>12000</v>
      </c>
      <c r="G914">
        <v>64</v>
      </c>
      <c r="H914" t="s">
        <v>13</v>
      </c>
      <c r="I914" t="s">
        <v>14</v>
      </c>
      <c r="J914">
        <v>4</v>
      </c>
      <c r="K914" s="1" t="str">
        <f t="shared" si="42"/>
        <v>30-44</v>
      </c>
      <c r="L914" s="1" t="str">
        <f t="shared" si="43"/>
        <v>High</v>
      </c>
      <c r="M914" s="1" t="str">
        <f t="shared" si="44"/>
        <v>Yes</v>
      </c>
    </row>
    <row r="915" spans="1:13" x14ac:dyDescent="0.35">
      <c r="A915">
        <v>929</v>
      </c>
      <c r="B915">
        <v>50</v>
      </c>
      <c r="C915" t="s">
        <v>15</v>
      </c>
      <c r="D915" t="s">
        <v>42</v>
      </c>
      <c r="E915" t="s">
        <v>43</v>
      </c>
      <c r="F915">
        <v>6000</v>
      </c>
      <c r="G915">
        <v>65</v>
      </c>
      <c r="H915" t="s">
        <v>13</v>
      </c>
      <c r="I915" t="s">
        <v>14</v>
      </c>
      <c r="J915">
        <v>3</v>
      </c>
      <c r="K915" s="1" t="str">
        <f t="shared" si="42"/>
        <v>45-59</v>
      </c>
      <c r="L915" s="1" t="str">
        <f t="shared" si="43"/>
        <v>Medium</v>
      </c>
      <c r="M915" s="1" t="str">
        <f t="shared" si="44"/>
        <v>No</v>
      </c>
    </row>
    <row r="916" spans="1:13" x14ac:dyDescent="0.35">
      <c r="A916">
        <v>930</v>
      </c>
      <c r="B916">
        <v>60</v>
      </c>
      <c r="C916" t="s">
        <v>10</v>
      </c>
      <c r="D916" t="s">
        <v>44</v>
      </c>
      <c r="E916" t="s">
        <v>45</v>
      </c>
      <c r="F916">
        <v>4000</v>
      </c>
      <c r="G916">
        <v>66</v>
      </c>
      <c r="H916" t="s">
        <v>13</v>
      </c>
      <c r="I916" t="s">
        <v>19</v>
      </c>
      <c r="J916">
        <v>4</v>
      </c>
      <c r="K916" s="1" t="str">
        <f t="shared" si="42"/>
        <v>60-74</v>
      </c>
      <c r="L916" s="1" t="str">
        <f t="shared" si="43"/>
        <v>Medium</v>
      </c>
      <c r="M916" s="1" t="str">
        <f t="shared" si="44"/>
        <v>Yes</v>
      </c>
    </row>
    <row r="917" spans="1:13" x14ac:dyDescent="0.35">
      <c r="A917">
        <v>931</v>
      </c>
      <c r="B917">
        <v>48</v>
      </c>
      <c r="C917" t="s">
        <v>10</v>
      </c>
      <c r="D917" t="s">
        <v>11</v>
      </c>
      <c r="E917" t="s">
        <v>12</v>
      </c>
      <c r="F917">
        <v>15000</v>
      </c>
      <c r="G917">
        <v>67</v>
      </c>
      <c r="H917" t="s">
        <v>18</v>
      </c>
      <c r="I917" t="s">
        <v>14</v>
      </c>
      <c r="J917">
        <v>4</v>
      </c>
      <c r="K917" s="1" t="str">
        <f t="shared" si="42"/>
        <v>45-59</v>
      </c>
      <c r="L917" s="1" t="str">
        <f t="shared" si="43"/>
        <v>High</v>
      </c>
      <c r="M917" s="1" t="str">
        <f t="shared" si="44"/>
        <v>Yes</v>
      </c>
    </row>
    <row r="918" spans="1:13" x14ac:dyDescent="0.35">
      <c r="A918">
        <v>932</v>
      </c>
      <c r="B918">
        <v>65</v>
      </c>
      <c r="C918" t="s">
        <v>15</v>
      </c>
      <c r="D918" t="s">
        <v>16</v>
      </c>
      <c r="E918" t="s">
        <v>17</v>
      </c>
      <c r="F918">
        <v>2000</v>
      </c>
      <c r="G918">
        <v>65</v>
      </c>
      <c r="H918" t="s">
        <v>13</v>
      </c>
      <c r="I918" t="s">
        <v>19</v>
      </c>
      <c r="J918">
        <v>3</v>
      </c>
      <c r="K918" s="1" t="str">
        <f t="shared" si="42"/>
        <v>60-74</v>
      </c>
      <c r="L918" s="1" t="str">
        <f t="shared" si="43"/>
        <v>Medium</v>
      </c>
      <c r="M918" s="1" t="str">
        <f t="shared" si="44"/>
        <v>No</v>
      </c>
    </row>
    <row r="919" spans="1:13" x14ac:dyDescent="0.35">
      <c r="A919">
        <v>933</v>
      </c>
      <c r="B919">
        <v>30</v>
      </c>
      <c r="C919" t="s">
        <v>10</v>
      </c>
      <c r="D919" t="s">
        <v>20</v>
      </c>
      <c r="E919" t="s">
        <v>21</v>
      </c>
      <c r="F919">
        <v>500</v>
      </c>
      <c r="G919">
        <v>63</v>
      </c>
      <c r="H919" t="s">
        <v>13</v>
      </c>
      <c r="I919" t="s">
        <v>14</v>
      </c>
      <c r="J919">
        <v>5</v>
      </c>
      <c r="K919" s="1" t="str">
        <f t="shared" si="42"/>
        <v>30-44</v>
      </c>
      <c r="L919" s="1" t="str">
        <f t="shared" si="43"/>
        <v>Low</v>
      </c>
      <c r="M919" s="1" t="str">
        <f t="shared" si="44"/>
        <v>Yes</v>
      </c>
    </row>
    <row r="920" spans="1:13" x14ac:dyDescent="0.35">
      <c r="A920">
        <v>934</v>
      </c>
      <c r="B920">
        <v>70</v>
      </c>
      <c r="C920" t="s">
        <v>15</v>
      </c>
      <c r="D920" t="s">
        <v>22</v>
      </c>
      <c r="E920" t="s">
        <v>23</v>
      </c>
      <c r="F920">
        <v>10000</v>
      </c>
      <c r="G920">
        <v>70</v>
      </c>
      <c r="H920" t="s">
        <v>18</v>
      </c>
      <c r="I920" t="s">
        <v>19</v>
      </c>
      <c r="J920">
        <v>2</v>
      </c>
      <c r="K920" s="1" t="str">
        <f t="shared" si="42"/>
        <v>60-74</v>
      </c>
      <c r="L920" s="1" t="str">
        <f t="shared" si="43"/>
        <v>High</v>
      </c>
      <c r="M920" s="1" t="str">
        <f t="shared" si="44"/>
        <v>No</v>
      </c>
    </row>
    <row r="921" spans="1:13" x14ac:dyDescent="0.35">
      <c r="A921">
        <v>935</v>
      </c>
      <c r="B921">
        <v>55</v>
      </c>
      <c r="C921" t="s">
        <v>10</v>
      </c>
      <c r="D921" t="s">
        <v>24</v>
      </c>
      <c r="E921" t="s">
        <v>25</v>
      </c>
      <c r="F921">
        <v>25000</v>
      </c>
      <c r="G921">
        <v>72</v>
      </c>
      <c r="H921" t="s">
        <v>13</v>
      </c>
      <c r="I921" t="s">
        <v>14</v>
      </c>
      <c r="J921">
        <v>4</v>
      </c>
      <c r="K921" s="1" t="str">
        <f t="shared" si="42"/>
        <v>45-59</v>
      </c>
      <c r="L921" s="1" t="str">
        <f t="shared" si="43"/>
        <v>High</v>
      </c>
      <c r="M921" s="1" t="str">
        <f t="shared" si="44"/>
        <v>Yes</v>
      </c>
    </row>
    <row r="922" spans="1:13" x14ac:dyDescent="0.35">
      <c r="A922">
        <v>936</v>
      </c>
      <c r="B922">
        <v>68</v>
      </c>
      <c r="C922" t="s">
        <v>15</v>
      </c>
      <c r="D922" t="s">
        <v>26</v>
      </c>
      <c r="E922" t="s">
        <v>27</v>
      </c>
      <c r="F922">
        <v>1000</v>
      </c>
      <c r="G922">
        <v>66</v>
      </c>
      <c r="H922" t="s">
        <v>13</v>
      </c>
      <c r="I922" t="s">
        <v>19</v>
      </c>
      <c r="J922">
        <v>4</v>
      </c>
      <c r="K922" s="1" t="str">
        <f t="shared" si="42"/>
        <v>60-74</v>
      </c>
      <c r="L922" s="1" t="str">
        <f t="shared" si="43"/>
        <v>Low</v>
      </c>
      <c r="M922" s="1" t="str">
        <f t="shared" si="44"/>
        <v>Yes</v>
      </c>
    </row>
    <row r="923" spans="1:13" x14ac:dyDescent="0.35">
      <c r="A923">
        <v>937</v>
      </c>
      <c r="B923">
        <v>45</v>
      </c>
      <c r="C923" t="s">
        <v>10</v>
      </c>
      <c r="D923" t="s">
        <v>28</v>
      </c>
      <c r="E923" t="s">
        <v>29</v>
      </c>
      <c r="F923">
        <v>8000</v>
      </c>
      <c r="G923">
        <v>68</v>
      </c>
      <c r="H923" t="s">
        <v>13</v>
      </c>
      <c r="I923" t="s">
        <v>14</v>
      </c>
      <c r="J923">
        <v>3</v>
      </c>
      <c r="K923" s="1" t="str">
        <f t="shared" si="42"/>
        <v>45-59</v>
      </c>
      <c r="L923" s="1" t="str">
        <f t="shared" si="43"/>
        <v>Medium</v>
      </c>
      <c r="M923" s="1" t="str">
        <f t="shared" si="44"/>
        <v>No</v>
      </c>
    </row>
    <row r="924" spans="1:13" x14ac:dyDescent="0.35">
      <c r="A924">
        <v>938</v>
      </c>
      <c r="B924">
        <v>40</v>
      </c>
      <c r="C924" t="s">
        <v>15</v>
      </c>
      <c r="D924" t="s">
        <v>30</v>
      </c>
      <c r="E924" t="s">
        <v>31</v>
      </c>
      <c r="F924">
        <v>3000</v>
      </c>
      <c r="G924">
        <v>68</v>
      </c>
      <c r="H924" t="s">
        <v>13</v>
      </c>
      <c r="I924" t="s">
        <v>14</v>
      </c>
      <c r="J924">
        <v>4</v>
      </c>
      <c r="K924" s="1" t="str">
        <f t="shared" si="42"/>
        <v>30-44</v>
      </c>
      <c r="L924" s="1" t="str">
        <f t="shared" si="43"/>
        <v>Medium</v>
      </c>
      <c r="M924" s="1" t="str">
        <f t="shared" si="44"/>
        <v>Yes</v>
      </c>
    </row>
    <row r="925" spans="1:13" x14ac:dyDescent="0.35">
      <c r="A925">
        <v>939</v>
      </c>
      <c r="B925">
        <v>78</v>
      </c>
      <c r="C925" t="s">
        <v>10</v>
      </c>
      <c r="D925" t="s">
        <v>32</v>
      </c>
      <c r="E925" t="s">
        <v>33</v>
      </c>
      <c r="F925">
        <v>18000</v>
      </c>
      <c r="G925">
        <v>70</v>
      </c>
      <c r="H925" t="s">
        <v>18</v>
      </c>
      <c r="I925" t="s">
        <v>19</v>
      </c>
      <c r="J925">
        <v>2</v>
      </c>
      <c r="K925" s="1" t="str">
        <f t="shared" si="42"/>
        <v>75+</v>
      </c>
      <c r="L925" s="1" t="str">
        <f t="shared" si="43"/>
        <v>High</v>
      </c>
      <c r="M925" s="1" t="str">
        <f t="shared" si="44"/>
        <v>No</v>
      </c>
    </row>
    <row r="926" spans="1:13" x14ac:dyDescent="0.35">
      <c r="A926">
        <v>940</v>
      </c>
      <c r="B926">
        <v>25</v>
      </c>
      <c r="C926" t="s">
        <v>15</v>
      </c>
      <c r="D926" t="s">
        <v>34</v>
      </c>
      <c r="E926" t="s">
        <v>35</v>
      </c>
      <c r="F926">
        <v>100</v>
      </c>
      <c r="G926">
        <v>63</v>
      </c>
      <c r="H926" t="s">
        <v>13</v>
      </c>
      <c r="I926" t="s">
        <v>14</v>
      </c>
      <c r="J926">
        <v>5</v>
      </c>
      <c r="K926" s="1" t="str">
        <f t="shared" si="42"/>
        <v>18-29</v>
      </c>
      <c r="L926" s="1" t="str">
        <f t="shared" si="43"/>
        <v>Low</v>
      </c>
      <c r="M926" s="1" t="str">
        <f t="shared" si="44"/>
        <v>Yes</v>
      </c>
    </row>
    <row r="927" spans="1:13" x14ac:dyDescent="0.35">
      <c r="A927">
        <v>941</v>
      </c>
      <c r="B927">
        <v>52</v>
      </c>
      <c r="C927" t="s">
        <v>10</v>
      </c>
      <c r="D927" t="s">
        <v>36</v>
      </c>
      <c r="E927" t="s">
        <v>37</v>
      </c>
      <c r="F927">
        <v>800</v>
      </c>
      <c r="G927">
        <v>64</v>
      </c>
      <c r="H927" t="s">
        <v>13</v>
      </c>
      <c r="I927" t="s">
        <v>19</v>
      </c>
      <c r="J927">
        <v>4</v>
      </c>
      <c r="K927" s="1" t="str">
        <f t="shared" si="42"/>
        <v>45-59</v>
      </c>
      <c r="L927" s="1" t="str">
        <f t="shared" si="43"/>
        <v>Low</v>
      </c>
      <c r="M927" s="1" t="str">
        <f t="shared" si="44"/>
        <v>Yes</v>
      </c>
    </row>
    <row r="928" spans="1:13" x14ac:dyDescent="0.35">
      <c r="A928">
        <v>942</v>
      </c>
      <c r="B928">
        <v>58</v>
      </c>
      <c r="C928" t="s">
        <v>15</v>
      </c>
      <c r="D928" t="s">
        <v>38</v>
      </c>
      <c r="E928" t="s">
        <v>39</v>
      </c>
      <c r="F928">
        <v>20000</v>
      </c>
      <c r="G928">
        <v>71</v>
      </c>
      <c r="H928" t="s">
        <v>13</v>
      </c>
      <c r="I928" t="s">
        <v>14</v>
      </c>
      <c r="J928">
        <v>3</v>
      </c>
      <c r="K928" s="1" t="str">
        <f t="shared" si="42"/>
        <v>45-59</v>
      </c>
      <c r="L928" s="1" t="str">
        <f t="shared" si="43"/>
        <v>High</v>
      </c>
      <c r="M928" s="1" t="str">
        <f t="shared" si="44"/>
        <v>No</v>
      </c>
    </row>
    <row r="929" spans="1:13" x14ac:dyDescent="0.35">
      <c r="A929">
        <v>943</v>
      </c>
      <c r="B929">
        <v>32</v>
      </c>
      <c r="C929" t="s">
        <v>10</v>
      </c>
      <c r="D929" t="s">
        <v>40</v>
      </c>
      <c r="E929" t="s">
        <v>41</v>
      </c>
      <c r="F929">
        <v>12000</v>
      </c>
      <c r="G929">
        <v>65</v>
      </c>
      <c r="H929" t="s">
        <v>13</v>
      </c>
      <c r="I929" t="s">
        <v>14</v>
      </c>
      <c r="J929">
        <v>4</v>
      </c>
      <c r="K929" s="1" t="str">
        <f t="shared" si="42"/>
        <v>30-44</v>
      </c>
      <c r="L929" s="1" t="str">
        <f t="shared" si="43"/>
        <v>High</v>
      </c>
      <c r="M929" s="1" t="str">
        <f t="shared" si="44"/>
        <v>Yes</v>
      </c>
    </row>
    <row r="930" spans="1:13" x14ac:dyDescent="0.35">
      <c r="A930">
        <v>944</v>
      </c>
      <c r="B930">
        <v>55</v>
      </c>
      <c r="C930" t="s">
        <v>15</v>
      </c>
      <c r="D930" t="s">
        <v>42</v>
      </c>
      <c r="E930" t="s">
        <v>43</v>
      </c>
      <c r="F930">
        <v>6000</v>
      </c>
      <c r="G930">
        <v>66</v>
      </c>
      <c r="H930" t="s">
        <v>13</v>
      </c>
      <c r="I930" t="s">
        <v>14</v>
      </c>
      <c r="J930">
        <v>3</v>
      </c>
      <c r="K930" s="1" t="str">
        <f t="shared" si="42"/>
        <v>45-59</v>
      </c>
      <c r="L930" s="1" t="str">
        <f t="shared" si="43"/>
        <v>Medium</v>
      </c>
      <c r="M930" s="1" t="str">
        <f t="shared" si="44"/>
        <v>No</v>
      </c>
    </row>
    <row r="931" spans="1:13" x14ac:dyDescent="0.35">
      <c r="A931">
        <v>945</v>
      </c>
      <c r="B931">
        <v>65</v>
      </c>
      <c r="C931" t="s">
        <v>10</v>
      </c>
      <c r="D931" t="s">
        <v>44</v>
      </c>
      <c r="E931" t="s">
        <v>45</v>
      </c>
      <c r="F931">
        <v>4000</v>
      </c>
      <c r="G931">
        <v>67</v>
      </c>
      <c r="H931" t="s">
        <v>13</v>
      </c>
      <c r="I931" t="s">
        <v>19</v>
      </c>
      <c r="J931">
        <v>4</v>
      </c>
      <c r="K931" s="1" t="str">
        <f t="shared" si="42"/>
        <v>60-74</v>
      </c>
      <c r="L931" s="1" t="str">
        <f t="shared" si="43"/>
        <v>Medium</v>
      </c>
      <c r="M931" s="1" t="str">
        <f t="shared" si="44"/>
        <v>Yes</v>
      </c>
    </row>
    <row r="932" spans="1:13" x14ac:dyDescent="0.35">
      <c r="A932">
        <v>946</v>
      </c>
      <c r="B932">
        <v>55</v>
      </c>
      <c r="C932" t="s">
        <v>10</v>
      </c>
      <c r="D932" t="s">
        <v>11</v>
      </c>
      <c r="E932" t="s">
        <v>12</v>
      </c>
      <c r="F932">
        <v>15000</v>
      </c>
      <c r="G932">
        <v>68</v>
      </c>
      <c r="H932" t="s">
        <v>18</v>
      </c>
      <c r="I932" t="s">
        <v>14</v>
      </c>
      <c r="J932">
        <v>3</v>
      </c>
      <c r="K932" s="1" t="str">
        <f t="shared" si="42"/>
        <v>45-59</v>
      </c>
      <c r="L932" s="1" t="str">
        <f t="shared" si="43"/>
        <v>High</v>
      </c>
      <c r="M932" s="1" t="str">
        <f t="shared" si="44"/>
        <v>No</v>
      </c>
    </row>
    <row r="933" spans="1:13" x14ac:dyDescent="0.35">
      <c r="A933">
        <v>947</v>
      </c>
      <c r="B933">
        <v>62</v>
      </c>
      <c r="C933" t="s">
        <v>15</v>
      </c>
      <c r="D933" t="s">
        <v>16</v>
      </c>
      <c r="E933" t="s">
        <v>17</v>
      </c>
      <c r="F933">
        <v>2000</v>
      </c>
      <c r="G933">
        <v>66</v>
      </c>
      <c r="H933" t="s">
        <v>13</v>
      </c>
      <c r="I933" t="s">
        <v>19</v>
      </c>
      <c r="J933">
        <v>4</v>
      </c>
      <c r="K933" s="1" t="str">
        <f t="shared" si="42"/>
        <v>60-74</v>
      </c>
      <c r="L933" s="1" t="str">
        <f t="shared" si="43"/>
        <v>Medium</v>
      </c>
      <c r="M933" s="1" t="str">
        <f t="shared" si="44"/>
        <v>Yes</v>
      </c>
    </row>
    <row r="934" spans="1:13" x14ac:dyDescent="0.35">
      <c r="A934">
        <v>948</v>
      </c>
      <c r="B934">
        <v>35</v>
      </c>
      <c r="C934" t="s">
        <v>10</v>
      </c>
      <c r="D934" t="s">
        <v>20</v>
      </c>
      <c r="E934" t="s">
        <v>21</v>
      </c>
      <c r="F934">
        <v>500</v>
      </c>
      <c r="G934">
        <v>64</v>
      </c>
      <c r="H934" t="s">
        <v>18</v>
      </c>
      <c r="I934" t="s">
        <v>14</v>
      </c>
      <c r="J934">
        <v>5</v>
      </c>
      <c r="K934" s="1" t="str">
        <f t="shared" si="42"/>
        <v>30-44</v>
      </c>
      <c r="L934" s="1" t="str">
        <f t="shared" si="43"/>
        <v>Low</v>
      </c>
      <c r="M934" s="1" t="str">
        <f t="shared" si="44"/>
        <v>Yes</v>
      </c>
    </row>
    <row r="935" spans="1:13" x14ac:dyDescent="0.35">
      <c r="A935">
        <v>949</v>
      </c>
      <c r="B935">
        <v>78</v>
      </c>
      <c r="C935" t="s">
        <v>15</v>
      </c>
      <c r="D935" t="s">
        <v>22</v>
      </c>
      <c r="E935" t="s">
        <v>23</v>
      </c>
      <c r="F935">
        <v>10000</v>
      </c>
      <c r="G935">
        <v>71</v>
      </c>
      <c r="H935" t="s">
        <v>13</v>
      </c>
      <c r="I935" t="s">
        <v>19</v>
      </c>
      <c r="J935">
        <v>2</v>
      </c>
      <c r="K935" s="1" t="str">
        <f t="shared" si="42"/>
        <v>75+</v>
      </c>
      <c r="L935" s="1" t="str">
        <f t="shared" si="43"/>
        <v>High</v>
      </c>
      <c r="M935" s="1" t="str">
        <f t="shared" si="44"/>
        <v>No</v>
      </c>
    </row>
    <row r="936" spans="1:13" x14ac:dyDescent="0.35">
      <c r="A936">
        <v>950</v>
      </c>
      <c r="B936">
        <v>53</v>
      </c>
      <c r="C936" t="s">
        <v>10</v>
      </c>
      <c r="D936" t="s">
        <v>24</v>
      </c>
      <c r="E936" t="s">
        <v>25</v>
      </c>
      <c r="F936">
        <v>25000</v>
      </c>
      <c r="G936">
        <v>73</v>
      </c>
      <c r="H936" t="s">
        <v>18</v>
      </c>
      <c r="I936" t="s">
        <v>14</v>
      </c>
      <c r="J936">
        <v>4</v>
      </c>
      <c r="K936" s="1" t="str">
        <f t="shared" si="42"/>
        <v>45-59</v>
      </c>
      <c r="L936" s="1" t="str">
        <f t="shared" si="43"/>
        <v>High</v>
      </c>
      <c r="M936" s="1" t="str">
        <f t="shared" si="44"/>
        <v>Yes</v>
      </c>
    </row>
    <row r="937" spans="1:13" x14ac:dyDescent="0.35">
      <c r="A937">
        <v>951</v>
      </c>
      <c r="B937">
        <v>72</v>
      </c>
      <c r="C937" t="s">
        <v>15</v>
      </c>
      <c r="D937" t="s">
        <v>26</v>
      </c>
      <c r="E937" t="s">
        <v>27</v>
      </c>
      <c r="F937">
        <v>1000</v>
      </c>
      <c r="G937">
        <v>67</v>
      </c>
      <c r="H937" t="s">
        <v>13</v>
      </c>
      <c r="I937" t="s">
        <v>19</v>
      </c>
      <c r="J937">
        <v>4</v>
      </c>
      <c r="K937" s="1" t="str">
        <f t="shared" si="42"/>
        <v>60-74</v>
      </c>
      <c r="L937" s="1" t="str">
        <f t="shared" si="43"/>
        <v>Low</v>
      </c>
      <c r="M937" s="1" t="str">
        <f t="shared" si="44"/>
        <v>Yes</v>
      </c>
    </row>
    <row r="938" spans="1:13" x14ac:dyDescent="0.35">
      <c r="A938">
        <v>952</v>
      </c>
      <c r="B938">
        <v>60</v>
      </c>
      <c r="C938" t="s">
        <v>10</v>
      </c>
      <c r="D938" t="s">
        <v>28</v>
      </c>
      <c r="E938" t="s">
        <v>29</v>
      </c>
      <c r="F938">
        <v>8000</v>
      </c>
      <c r="G938">
        <v>69</v>
      </c>
      <c r="H938" t="s">
        <v>18</v>
      </c>
      <c r="I938" t="s">
        <v>14</v>
      </c>
      <c r="J938">
        <v>3</v>
      </c>
      <c r="K938" s="1" t="str">
        <f t="shared" si="42"/>
        <v>60-74</v>
      </c>
      <c r="L938" s="1" t="str">
        <f t="shared" si="43"/>
        <v>Medium</v>
      </c>
      <c r="M938" s="1" t="str">
        <f t="shared" si="44"/>
        <v>No</v>
      </c>
    </row>
    <row r="939" spans="1:13" x14ac:dyDescent="0.35">
      <c r="A939">
        <v>953</v>
      </c>
      <c r="B939">
        <v>45</v>
      </c>
      <c r="C939" t="s">
        <v>15</v>
      </c>
      <c r="D939" t="s">
        <v>30</v>
      </c>
      <c r="E939" t="s">
        <v>31</v>
      </c>
      <c r="F939">
        <v>3000</v>
      </c>
      <c r="G939">
        <v>69</v>
      </c>
      <c r="H939" t="s">
        <v>13</v>
      </c>
      <c r="I939" t="s">
        <v>14</v>
      </c>
      <c r="J939">
        <v>4</v>
      </c>
      <c r="K939" s="1" t="str">
        <f t="shared" si="42"/>
        <v>45-59</v>
      </c>
      <c r="L939" s="1" t="str">
        <f t="shared" si="43"/>
        <v>Medium</v>
      </c>
      <c r="M939" s="1" t="str">
        <f t="shared" si="44"/>
        <v>Yes</v>
      </c>
    </row>
    <row r="940" spans="1:13" x14ac:dyDescent="0.35">
      <c r="A940">
        <v>954</v>
      </c>
      <c r="B940">
        <v>75</v>
      </c>
      <c r="C940" t="s">
        <v>10</v>
      </c>
      <c r="D940" t="s">
        <v>32</v>
      </c>
      <c r="E940" t="s">
        <v>33</v>
      </c>
      <c r="F940">
        <v>18000</v>
      </c>
      <c r="G940">
        <v>71</v>
      </c>
      <c r="H940" t="s">
        <v>18</v>
      </c>
      <c r="I940" t="s">
        <v>19</v>
      </c>
      <c r="J940">
        <v>2</v>
      </c>
      <c r="K940" s="1" t="str">
        <f t="shared" si="42"/>
        <v>75+</v>
      </c>
      <c r="L940" s="1" t="str">
        <f t="shared" si="43"/>
        <v>High</v>
      </c>
      <c r="M940" s="1" t="str">
        <f t="shared" si="44"/>
        <v>No</v>
      </c>
    </row>
    <row r="941" spans="1:13" x14ac:dyDescent="0.35">
      <c r="A941">
        <v>955</v>
      </c>
      <c r="B941">
        <v>28</v>
      </c>
      <c r="C941" t="s">
        <v>15</v>
      </c>
      <c r="D941" t="s">
        <v>34</v>
      </c>
      <c r="E941" t="s">
        <v>35</v>
      </c>
      <c r="F941">
        <v>100</v>
      </c>
      <c r="G941">
        <v>64</v>
      </c>
      <c r="H941" t="s">
        <v>13</v>
      </c>
      <c r="I941" t="s">
        <v>14</v>
      </c>
      <c r="J941">
        <v>5</v>
      </c>
      <c r="K941" s="1" t="str">
        <f t="shared" si="42"/>
        <v>18-29</v>
      </c>
      <c r="L941" s="1" t="str">
        <f t="shared" si="43"/>
        <v>Low</v>
      </c>
      <c r="M941" s="1" t="str">
        <f t="shared" si="44"/>
        <v>Yes</v>
      </c>
    </row>
    <row r="942" spans="1:13" x14ac:dyDescent="0.35">
      <c r="A942">
        <v>956</v>
      </c>
      <c r="B942">
        <v>52</v>
      </c>
      <c r="C942" t="s">
        <v>10</v>
      </c>
      <c r="D942" t="s">
        <v>36</v>
      </c>
      <c r="E942" t="s">
        <v>37</v>
      </c>
      <c r="F942">
        <v>800</v>
      </c>
      <c r="G942">
        <v>65</v>
      </c>
      <c r="H942" t="s">
        <v>13</v>
      </c>
      <c r="I942" t="s">
        <v>19</v>
      </c>
      <c r="J942">
        <v>4</v>
      </c>
      <c r="K942" s="1" t="str">
        <f t="shared" si="42"/>
        <v>45-59</v>
      </c>
      <c r="L942" s="1" t="str">
        <f t="shared" si="43"/>
        <v>Low</v>
      </c>
      <c r="M942" s="1" t="str">
        <f t="shared" si="44"/>
        <v>Yes</v>
      </c>
    </row>
    <row r="943" spans="1:13" x14ac:dyDescent="0.35">
      <c r="A943">
        <v>957</v>
      </c>
      <c r="B943">
        <v>67</v>
      </c>
      <c r="C943" t="s">
        <v>15</v>
      </c>
      <c r="D943" t="s">
        <v>38</v>
      </c>
      <c r="E943" t="s">
        <v>39</v>
      </c>
      <c r="F943">
        <v>20000</v>
      </c>
      <c r="G943">
        <v>72</v>
      </c>
      <c r="H943" t="s">
        <v>13</v>
      </c>
      <c r="I943" t="s">
        <v>14</v>
      </c>
      <c r="J943">
        <v>3</v>
      </c>
      <c r="K943" s="1" t="str">
        <f t="shared" si="42"/>
        <v>60-74</v>
      </c>
      <c r="L943" s="1" t="str">
        <f t="shared" si="43"/>
        <v>High</v>
      </c>
      <c r="M943" s="1" t="str">
        <f t="shared" si="44"/>
        <v>No</v>
      </c>
    </row>
    <row r="944" spans="1:13" x14ac:dyDescent="0.35">
      <c r="A944">
        <v>958</v>
      </c>
      <c r="B944">
        <v>35</v>
      </c>
      <c r="C944" t="s">
        <v>10</v>
      </c>
      <c r="D944" t="s">
        <v>40</v>
      </c>
      <c r="E944" t="s">
        <v>41</v>
      </c>
      <c r="F944">
        <v>12000</v>
      </c>
      <c r="G944">
        <v>66</v>
      </c>
      <c r="H944" t="s">
        <v>13</v>
      </c>
      <c r="I944" t="s">
        <v>14</v>
      </c>
      <c r="J944">
        <v>4</v>
      </c>
      <c r="K944" s="1" t="str">
        <f t="shared" si="42"/>
        <v>30-44</v>
      </c>
      <c r="L944" s="1" t="str">
        <f t="shared" si="43"/>
        <v>High</v>
      </c>
      <c r="M944" s="1" t="str">
        <f t="shared" si="44"/>
        <v>Yes</v>
      </c>
    </row>
    <row r="945" spans="1:13" x14ac:dyDescent="0.35">
      <c r="A945">
        <v>959</v>
      </c>
      <c r="B945">
        <v>50</v>
      </c>
      <c r="C945" t="s">
        <v>15</v>
      </c>
      <c r="D945" t="s">
        <v>42</v>
      </c>
      <c r="E945" t="s">
        <v>43</v>
      </c>
      <c r="F945">
        <v>6000</v>
      </c>
      <c r="G945">
        <v>67</v>
      </c>
      <c r="H945" t="s">
        <v>13</v>
      </c>
      <c r="I945" t="s">
        <v>14</v>
      </c>
      <c r="J945">
        <v>3</v>
      </c>
      <c r="K945" s="1" t="str">
        <f t="shared" si="42"/>
        <v>45-59</v>
      </c>
      <c r="L945" s="1" t="str">
        <f t="shared" si="43"/>
        <v>Medium</v>
      </c>
      <c r="M945" s="1" t="str">
        <f t="shared" si="44"/>
        <v>No</v>
      </c>
    </row>
    <row r="946" spans="1:13" x14ac:dyDescent="0.35">
      <c r="A946">
        <v>960</v>
      </c>
      <c r="B946">
        <v>60</v>
      </c>
      <c r="C946" t="s">
        <v>10</v>
      </c>
      <c r="D946" t="s">
        <v>44</v>
      </c>
      <c r="E946" t="s">
        <v>45</v>
      </c>
      <c r="F946">
        <v>4000</v>
      </c>
      <c r="G946">
        <v>68</v>
      </c>
      <c r="H946" t="s">
        <v>13</v>
      </c>
      <c r="I946" t="s">
        <v>19</v>
      </c>
      <c r="J946">
        <v>4</v>
      </c>
      <c r="K946" s="1" t="str">
        <f t="shared" si="42"/>
        <v>60-74</v>
      </c>
      <c r="L946" s="1" t="str">
        <f t="shared" si="43"/>
        <v>Medium</v>
      </c>
      <c r="M946" s="1" t="str">
        <f t="shared" si="44"/>
        <v>Yes</v>
      </c>
    </row>
    <row r="947" spans="1:13" x14ac:dyDescent="0.35">
      <c r="A947">
        <v>961</v>
      </c>
      <c r="B947">
        <v>48</v>
      </c>
      <c r="C947" t="s">
        <v>10</v>
      </c>
      <c r="D947" t="s">
        <v>11</v>
      </c>
      <c r="E947" t="s">
        <v>12</v>
      </c>
      <c r="F947">
        <v>15000</v>
      </c>
      <c r="G947">
        <v>69</v>
      </c>
      <c r="H947" t="s">
        <v>18</v>
      </c>
      <c r="I947" t="s">
        <v>14</v>
      </c>
      <c r="J947">
        <v>4</v>
      </c>
      <c r="K947" s="1" t="str">
        <f t="shared" si="42"/>
        <v>45-59</v>
      </c>
      <c r="L947" s="1" t="str">
        <f t="shared" si="43"/>
        <v>High</v>
      </c>
      <c r="M947" s="1" t="str">
        <f t="shared" si="44"/>
        <v>Yes</v>
      </c>
    </row>
    <row r="948" spans="1:13" x14ac:dyDescent="0.35">
      <c r="A948">
        <v>962</v>
      </c>
      <c r="B948">
        <v>65</v>
      </c>
      <c r="C948" t="s">
        <v>15</v>
      </c>
      <c r="D948" t="s">
        <v>16</v>
      </c>
      <c r="E948" t="s">
        <v>17</v>
      </c>
      <c r="F948">
        <v>2000</v>
      </c>
      <c r="G948">
        <v>67</v>
      </c>
      <c r="H948" t="s">
        <v>13</v>
      </c>
      <c r="I948" t="s">
        <v>19</v>
      </c>
      <c r="J948">
        <v>3</v>
      </c>
      <c r="K948" s="1" t="str">
        <f t="shared" si="42"/>
        <v>60-74</v>
      </c>
      <c r="L948" s="1" t="str">
        <f t="shared" si="43"/>
        <v>Medium</v>
      </c>
      <c r="M948" s="1" t="str">
        <f t="shared" si="44"/>
        <v>No</v>
      </c>
    </row>
    <row r="949" spans="1:13" x14ac:dyDescent="0.35">
      <c r="A949">
        <v>963</v>
      </c>
      <c r="B949">
        <v>30</v>
      </c>
      <c r="C949" t="s">
        <v>10</v>
      </c>
      <c r="D949" t="s">
        <v>20</v>
      </c>
      <c r="E949" t="s">
        <v>21</v>
      </c>
      <c r="F949">
        <v>500</v>
      </c>
      <c r="G949">
        <v>65</v>
      </c>
      <c r="H949" t="s">
        <v>13</v>
      </c>
      <c r="I949" t="s">
        <v>14</v>
      </c>
      <c r="J949">
        <v>5</v>
      </c>
      <c r="K949" s="1" t="str">
        <f t="shared" si="42"/>
        <v>30-44</v>
      </c>
      <c r="L949" s="1" t="str">
        <f t="shared" si="43"/>
        <v>Low</v>
      </c>
      <c r="M949" s="1" t="str">
        <f t="shared" si="44"/>
        <v>Yes</v>
      </c>
    </row>
    <row r="950" spans="1:13" x14ac:dyDescent="0.35">
      <c r="A950">
        <v>964</v>
      </c>
      <c r="B950">
        <v>70</v>
      </c>
      <c r="C950" t="s">
        <v>15</v>
      </c>
      <c r="D950" t="s">
        <v>22</v>
      </c>
      <c r="E950" t="s">
        <v>23</v>
      </c>
      <c r="F950">
        <v>10000</v>
      </c>
      <c r="G950">
        <v>72</v>
      </c>
      <c r="H950" t="s">
        <v>18</v>
      </c>
      <c r="I950" t="s">
        <v>19</v>
      </c>
      <c r="J950">
        <v>2</v>
      </c>
      <c r="K950" s="1" t="str">
        <f t="shared" si="42"/>
        <v>60-74</v>
      </c>
      <c r="L950" s="1" t="str">
        <f t="shared" si="43"/>
        <v>High</v>
      </c>
      <c r="M950" s="1" t="str">
        <f t="shared" si="44"/>
        <v>No</v>
      </c>
    </row>
    <row r="951" spans="1:13" x14ac:dyDescent="0.35">
      <c r="A951">
        <v>965</v>
      </c>
      <c r="B951">
        <v>55</v>
      </c>
      <c r="C951" t="s">
        <v>10</v>
      </c>
      <c r="D951" t="s">
        <v>24</v>
      </c>
      <c r="E951" t="s">
        <v>25</v>
      </c>
      <c r="F951">
        <v>25000</v>
      </c>
      <c r="G951">
        <v>74</v>
      </c>
      <c r="H951" t="s">
        <v>13</v>
      </c>
      <c r="I951" t="s">
        <v>14</v>
      </c>
      <c r="J951">
        <v>4</v>
      </c>
      <c r="K951" s="1" t="str">
        <f t="shared" si="42"/>
        <v>45-59</v>
      </c>
      <c r="L951" s="1" t="str">
        <f t="shared" si="43"/>
        <v>High</v>
      </c>
      <c r="M951" s="1" t="str">
        <f t="shared" si="44"/>
        <v>Yes</v>
      </c>
    </row>
    <row r="952" spans="1:13" x14ac:dyDescent="0.35">
      <c r="A952">
        <v>966</v>
      </c>
      <c r="B952">
        <v>68</v>
      </c>
      <c r="C952" t="s">
        <v>15</v>
      </c>
      <c r="D952" t="s">
        <v>26</v>
      </c>
      <c r="E952" t="s">
        <v>27</v>
      </c>
      <c r="F952">
        <v>1000</v>
      </c>
      <c r="G952">
        <v>68</v>
      </c>
      <c r="H952" t="s">
        <v>13</v>
      </c>
      <c r="I952" t="s">
        <v>19</v>
      </c>
      <c r="J952">
        <v>4</v>
      </c>
      <c r="K952" s="1" t="str">
        <f t="shared" si="42"/>
        <v>60-74</v>
      </c>
      <c r="L952" s="1" t="str">
        <f t="shared" si="43"/>
        <v>Low</v>
      </c>
      <c r="M952" s="1" t="str">
        <f t="shared" si="44"/>
        <v>Yes</v>
      </c>
    </row>
    <row r="953" spans="1:13" x14ac:dyDescent="0.35">
      <c r="A953">
        <v>968</v>
      </c>
      <c r="B953">
        <v>40</v>
      </c>
      <c r="C953" t="s">
        <v>15</v>
      </c>
      <c r="D953" t="s">
        <v>30</v>
      </c>
      <c r="E953" t="s">
        <v>31</v>
      </c>
      <c r="F953">
        <v>3000</v>
      </c>
      <c r="G953">
        <v>70</v>
      </c>
      <c r="H953" t="s">
        <v>13</v>
      </c>
      <c r="I953" t="s">
        <v>14</v>
      </c>
      <c r="J953">
        <v>4</v>
      </c>
      <c r="K953" s="1" t="str">
        <f t="shared" si="42"/>
        <v>30-44</v>
      </c>
      <c r="L953" s="1" t="str">
        <f t="shared" si="43"/>
        <v>Medium</v>
      </c>
      <c r="M953" s="1" t="str">
        <f t="shared" si="44"/>
        <v>Yes</v>
      </c>
    </row>
    <row r="954" spans="1:13" x14ac:dyDescent="0.35">
      <c r="A954">
        <v>969</v>
      </c>
      <c r="B954">
        <v>78</v>
      </c>
      <c r="C954" t="s">
        <v>10</v>
      </c>
      <c r="D954" t="s">
        <v>32</v>
      </c>
      <c r="E954" t="s">
        <v>33</v>
      </c>
      <c r="F954">
        <v>18000</v>
      </c>
      <c r="G954">
        <v>72</v>
      </c>
      <c r="H954" t="s">
        <v>18</v>
      </c>
      <c r="I954" t="s">
        <v>19</v>
      </c>
      <c r="J954">
        <v>2</v>
      </c>
      <c r="K954" s="1" t="str">
        <f t="shared" si="42"/>
        <v>75+</v>
      </c>
      <c r="L954" s="1" t="str">
        <f t="shared" si="43"/>
        <v>High</v>
      </c>
      <c r="M954" s="1" t="str">
        <f t="shared" si="44"/>
        <v>No</v>
      </c>
    </row>
    <row r="955" spans="1:13" x14ac:dyDescent="0.35">
      <c r="A955">
        <v>970</v>
      </c>
      <c r="B955">
        <v>25</v>
      </c>
      <c r="C955" t="s">
        <v>15</v>
      </c>
      <c r="D955" t="s">
        <v>34</v>
      </c>
      <c r="E955" t="s">
        <v>35</v>
      </c>
      <c r="F955">
        <v>100</v>
      </c>
      <c r="G955">
        <v>65</v>
      </c>
      <c r="H955" t="s">
        <v>13</v>
      </c>
      <c r="I955" t="s">
        <v>14</v>
      </c>
      <c r="J955">
        <v>5</v>
      </c>
      <c r="K955" s="1" t="str">
        <f t="shared" si="42"/>
        <v>18-29</v>
      </c>
      <c r="L955" s="1" t="str">
        <f t="shared" si="43"/>
        <v>Low</v>
      </c>
      <c r="M955" s="1" t="str">
        <f t="shared" si="44"/>
        <v>Yes</v>
      </c>
    </row>
    <row r="956" spans="1:13" x14ac:dyDescent="0.35">
      <c r="A956">
        <v>971</v>
      </c>
      <c r="B956">
        <v>52</v>
      </c>
      <c r="C956" t="s">
        <v>10</v>
      </c>
      <c r="D956" t="s">
        <v>36</v>
      </c>
      <c r="E956" t="s">
        <v>37</v>
      </c>
      <c r="F956">
        <v>800</v>
      </c>
      <c r="G956">
        <v>66</v>
      </c>
      <c r="H956" t="s">
        <v>13</v>
      </c>
      <c r="I956" t="s">
        <v>19</v>
      </c>
      <c r="J956">
        <v>4</v>
      </c>
      <c r="K956" s="1" t="str">
        <f t="shared" si="42"/>
        <v>45-59</v>
      </c>
      <c r="L956" s="1" t="str">
        <f t="shared" si="43"/>
        <v>Low</v>
      </c>
      <c r="M956" s="1" t="str">
        <f t="shared" si="44"/>
        <v>Yes</v>
      </c>
    </row>
    <row r="957" spans="1:13" x14ac:dyDescent="0.35">
      <c r="A957">
        <v>972</v>
      </c>
      <c r="B957">
        <v>58</v>
      </c>
      <c r="C957" t="s">
        <v>15</v>
      </c>
      <c r="D957" t="s">
        <v>38</v>
      </c>
      <c r="E957" t="s">
        <v>39</v>
      </c>
      <c r="F957">
        <v>20000</v>
      </c>
      <c r="G957">
        <v>73</v>
      </c>
      <c r="H957" t="s">
        <v>13</v>
      </c>
      <c r="I957" t="s">
        <v>14</v>
      </c>
      <c r="J957">
        <v>3</v>
      </c>
      <c r="K957" s="1" t="str">
        <f t="shared" si="42"/>
        <v>45-59</v>
      </c>
      <c r="L957" s="1" t="str">
        <f t="shared" si="43"/>
        <v>High</v>
      </c>
      <c r="M957" s="1" t="str">
        <f t="shared" si="44"/>
        <v>No</v>
      </c>
    </row>
    <row r="958" spans="1:13" x14ac:dyDescent="0.35">
      <c r="A958">
        <v>973</v>
      </c>
      <c r="B958">
        <v>32</v>
      </c>
      <c r="C958" t="s">
        <v>10</v>
      </c>
      <c r="D958" t="s">
        <v>40</v>
      </c>
      <c r="E958" t="s">
        <v>41</v>
      </c>
      <c r="F958">
        <v>12000</v>
      </c>
      <c r="G958">
        <v>67</v>
      </c>
      <c r="H958" t="s">
        <v>13</v>
      </c>
      <c r="I958" t="s">
        <v>14</v>
      </c>
      <c r="J958">
        <v>4</v>
      </c>
      <c r="K958" s="1" t="str">
        <f t="shared" si="42"/>
        <v>30-44</v>
      </c>
      <c r="L958" s="1" t="str">
        <f t="shared" si="43"/>
        <v>High</v>
      </c>
      <c r="M958" s="1" t="str">
        <f t="shared" si="44"/>
        <v>Yes</v>
      </c>
    </row>
    <row r="959" spans="1:13" x14ac:dyDescent="0.35">
      <c r="A959">
        <v>974</v>
      </c>
      <c r="B959">
        <v>55</v>
      </c>
      <c r="C959" t="s">
        <v>15</v>
      </c>
      <c r="D959" t="s">
        <v>42</v>
      </c>
      <c r="E959" t="s">
        <v>43</v>
      </c>
      <c r="F959">
        <v>6000</v>
      </c>
      <c r="G959">
        <v>68</v>
      </c>
      <c r="H959" t="s">
        <v>13</v>
      </c>
      <c r="I959" t="s">
        <v>14</v>
      </c>
      <c r="J959">
        <v>3</v>
      </c>
      <c r="K959" s="1" t="str">
        <f t="shared" si="42"/>
        <v>45-59</v>
      </c>
      <c r="L959" s="1" t="str">
        <f t="shared" si="43"/>
        <v>Medium</v>
      </c>
      <c r="M959" s="1" t="str">
        <f t="shared" si="44"/>
        <v>No</v>
      </c>
    </row>
    <row r="960" spans="1:13" x14ac:dyDescent="0.35">
      <c r="A960">
        <v>975</v>
      </c>
      <c r="B960">
        <v>65</v>
      </c>
      <c r="C960" t="s">
        <v>10</v>
      </c>
      <c r="D960" t="s">
        <v>44</v>
      </c>
      <c r="E960" t="s">
        <v>45</v>
      </c>
      <c r="F960">
        <v>4000</v>
      </c>
      <c r="G960">
        <v>69</v>
      </c>
      <c r="H960" t="s">
        <v>13</v>
      </c>
      <c r="I960" t="s">
        <v>19</v>
      </c>
      <c r="J960">
        <v>4</v>
      </c>
      <c r="K960" s="1" t="str">
        <f t="shared" si="42"/>
        <v>60-74</v>
      </c>
      <c r="L960" s="1" t="str">
        <f t="shared" si="43"/>
        <v>Medium</v>
      </c>
      <c r="M960" s="1" t="str">
        <f t="shared" si="44"/>
        <v>Yes</v>
      </c>
    </row>
    <row r="961" spans="1:13" x14ac:dyDescent="0.35">
      <c r="A961">
        <v>976</v>
      </c>
      <c r="B961">
        <v>55</v>
      </c>
      <c r="C961" t="s">
        <v>10</v>
      </c>
      <c r="D961" t="s">
        <v>11</v>
      </c>
      <c r="E961" t="s">
        <v>12</v>
      </c>
      <c r="F961">
        <v>15000</v>
      </c>
      <c r="G961">
        <v>70</v>
      </c>
      <c r="H961" t="s">
        <v>18</v>
      </c>
      <c r="I961" t="s">
        <v>14</v>
      </c>
      <c r="J961">
        <v>3</v>
      </c>
      <c r="K961" s="1" t="str">
        <f t="shared" si="42"/>
        <v>45-59</v>
      </c>
      <c r="L961" s="1" t="str">
        <f t="shared" si="43"/>
        <v>High</v>
      </c>
      <c r="M961" s="1" t="str">
        <f t="shared" si="44"/>
        <v>No</v>
      </c>
    </row>
    <row r="962" spans="1:13" x14ac:dyDescent="0.35">
      <c r="A962">
        <v>977</v>
      </c>
      <c r="B962">
        <v>62</v>
      </c>
      <c r="C962" t="s">
        <v>15</v>
      </c>
      <c r="D962" t="s">
        <v>16</v>
      </c>
      <c r="E962" t="s">
        <v>17</v>
      </c>
      <c r="F962">
        <v>2000</v>
      </c>
      <c r="G962">
        <v>68</v>
      </c>
      <c r="H962" t="s">
        <v>13</v>
      </c>
      <c r="I962" t="s">
        <v>19</v>
      </c>
      <c r="J962">
        <v>4</v>
      </c>
      <c r="K962" s="1" t="str">
        <f t="shared" si="42"/>
        <v>60-74</v>
      </c>
      <c r="L962" s="1" t="str">
        <f t="shared" si="43"/>
        <v>Medium</v>
      </c>
      <c r="M962" s="1" t="str">
        <f t="shared" si="44"/>
        <v>Yes</v>
      </c>
    </row>
    <row r="963" spans="1:13" x14ac:dyDescent="0.35">
      <c r="A963">
        <v>978</v>
      </c>
      <c r="B963">
        <v>35</v>
      </c>
      <c r="C963" t="s">
        <v>10</v>
      </c>
      <c r="D963" t="s">
        <v>20</v>
      </c>
      <c r="E963" t="s">
        <v>21</v>
      </c>
      <c r="F963">
        <v>500</v>
      </c>
      <c r="G963">
        <v>66</v>
      </c>
      <c r="H963" t="s">
        <v>18</v>
      </c>
      <c r="I963" t="s">
        <v>14</v>
      </c>
      <c r="J963">
        <v>5</v>
      </c>
      <c r="K963" s="1" t="str">
        <f t="shared" ref="K963:K985" si="45">IF(B963&lt;30,"18-29",IF(B963&lt;45,"30-44",IF(B963&lt;60,"45-59",IF(B963&lt;75,"60-74","75+"))))</f>
        <v>30-44</v>
      </c>
      <c r="L963" s="1" t="str">
        <f t="shared" ref="L963:L985" si="46">IF(F963&lt;=1000,"Low",IF(F963&lt;=8000,"Medium","High"))</f>
        <v>Low</v>
      </c>
      <c r="M963" s="1" t="str">
        <f t="shared" ref="M963:M985" si="47">IF(J963&gt;=4,"Yes","No")</f>
        <v>Yes</v>
      </c>
    </row>
    <row r="964" spans="1:13" x14ac:dyDescent="0.35">
      <c r="A964">
        <v>979</v>
      </c>
      <c r="B964">
        <v>78</v>
      </c>
      <c r="C964" t="s">
        <v>15</v>
      </c>
      <c r="D964" t="s">
        <v>22</v>
      </c>
      <c r="E964" t="s">
        <v>23</v>
      </c>
      <c r="F964">
        <v>10000</v>
      </c>
      <c r="G964">
        <v>73</v>
      </c>
      <c r="H964" t="s">
        <v>13</v>
      </c>
      <c r="I964" t="s">
        <v>19</v>
      </c>
      <c r="J964">
        <v>2</v>
      </c>
      <c r="K964" s="1" t="str">
        <f t="shared" si="45"/>
        <v>75+</v>
      </c>
      <c r="L964" s="1" t="str">
        <f t="shared" si="46"/>
        <v>High</v>
      </c>
      <c r="M964" s="1" t="str">
        <f t="shared" si="47"/>
        <v>No</v>
      </c>
    </row>
    <row r="965" spans="1:13" x14ac:dyDescent="0.35">
      <c r="A965">
        <v>980</v>
      </c>
      <c r="B965">
        <v>53</v>
      </c>
      <c r="C965" t="s">
        <v>10</v>
      </c>
      <c r="D965" t="s">
        <v>24</v>
      </c>
      <c r="E965" t="s">
        <v>25</v>
      </c>
      <c r="F965">
        <v>25000</v>
      </c>
      <c r="G965">
        <v>75</v>
      </c>
      <c r="H965" t="s">
        <v>18</v>
      </c>
      <c r="I965" t="s">
        <v>14</v>
      </c>
      <c r="J965">
        <v>4</v>
      </c>
      <c r="K965" s="1" t="str">
        <f t="shared" si="45"/>
        <v>45-59</v>
      </c>
      <c r="L965" s="1" t="str">
        <f t="shared" si="46"/>
        <v>High</v>
      </c>
      <c r="M965" s="1" t="str">
        <f t="shared" si="47"/>
        <v>Yes</v>
      </c>
    </row>
    <row r="966" spans="1:13" x14ac:dyDescent="0.35">
      <c r="A966">
        <v>981</v>
      </c>
      <c r="B966">
        <v>72</v>
      </c>
      <c r="C966" t="s">
        <v>15</v>
      </c>
      <c r="D966" t="s">
        <v>26</v>
      </c>
      <c r="E966" t="s">
        <v>27</v>
      </c>
      <c r="F966">
        <v>1000</v>
      </c>
      <c r="G966">
        <v>69</v>
      </c>
      <c r="H966" t="s">
        <v>13</v>
      </c>
      <c r="I966" t="s">
        <v>19</v>
      </c>
      <c r="J966">
        <v>4</v>
      </c>
      <c r="K966" s="1" t="str">
        <f t="shared" si="45"/>
        <v>60-74</v>
      </c>
      <c r="L966" s="1" t="str">
        <f t="shared" si="46"/>
        <v>Low</v>
      </c>
      <c r="M966" s="1" t="str">
        <f t="shared" si="47"/>
        <v>Yes</v>
      </c>
    </row>
    <row r="967" spans="1:13" x14ac:dyDescent="0.35">
      <c r="A967">
        <v>982</v>
      </c>
      <c r="B967">
        <v>60</v>
      </c>
      <c r="C967" t="s">
        <v>10</v>
      </c>
      <c r="D967" t="s">
        <v>28</v>
      </c>
      <c r="E967" t="s">
        <v>29</v>
      </c>
      <c r="F967">
        <v>8000</v>
      </c>
      <c r="G967">
        <v>71</v>
      </c>
      <c r="H967" t="s">
        <v>18</v>
      </c>
      <c r="I967" t="s">
        <v>14</v>
      </c>
      <c r="J967">
        <v>3</v>
      </c>
      <c r="K967" s="1" t="str">
        <f t="shared" si="45"/>
        <v>60-74</v>
      </c>
      <c r="L967" s="1" t="str">
        <f t="shared" si="46"/>
        <v>Medium</v>
      </c>
      <c r="M967" s="1" t="str">
        <f t="shared" si="47"/>
        <v>No</v>
      </c>
    </row>
    <row r="968" spans="1:13" x14ac:dyDescent="0.35">
      <c r="A968">
        <v>983</v>
      </c>
      <c r="B968">
        <v>45</v>
      </c>
      <c r="C968" t="s">
        <v>15</v>
      </c>
      <c r="D968" t="s">
        <v>30</v>
      </c>
      <c r="E968" t="s">
        <v>31</v>
      </c>
      <c r="F968">
        <v>3000</v>
      </c>
      <c r="G968">
        <v>71</v>
      </c>
      <c r="H968" t="s">
        <v>13</v>
      </c>
      <c r="I968" t="s">
        <v>14</v>
      </c>
      <c r="J968">
        <v>4</v>
      </c>
      <c r="K968" s="1" t="str">
        <f t="shared" si="45"/>
        <v>45-59</v>
      </c>
      <c r="L968" s="1" t="str">
        <f t="shared" si="46"/>
        <v>Medium</v>
      </c>
      <c r="M968" s="1" t="str">
        <f t="shared" si="47"/>
        <v>Yes</v>
      </c>
    </row>
    <row r="969" spans="1:13" x14ac:dyDescent="0.35">
      <c r="A969">
        <v>984</v>
      </c>
      <c r="B969">
        <v>75</v>
      </c>
      <c r="C969" t="s">
        <v>10</v>
      </c>
      <c r="D969" t="s">
        <v>32</v>
      </c>
      <c r="E969" t="s">
        <v>33</v>
      </c>
      <c r="F969">
        <v>18000</v>
      </c>
      <c r="G969">
        <v>73</v>
      </c>
      <c r="H969" t="s">
        <v>18</v>
      </c>
      <c r="I969" t="s">
        <v>19</v>
      </c>
      <c r="J969">
        <v>2</v>
      </c>
      <c r="K969" s="1" t="str">
        <f t="shared" si="45"/>
        <v>75+</v>
      </c>
      <c r="L969" s="1" t="str">
        <f t="shared" si="46"/>
        <v>High</v>
      </c>
      <c r="M969" s="1" t="str">
        <f t="shared" si="47"/>
        <v>No</v>
      </c>
    </row>
    <row r="970" spans="1:13" x14ac:dyDescent="0.35">
      <c r="A970">
        <v>985</v>
      </c>
      <c r="B970">
        <v>28</v>
      </c>
      <c r="C970" t="s">
        <v>15</v>
      </c>
      <c r="D970" t="s">
        <v>34</v>
      </c>
      <c r="E970" t="s">
        <v>35</v>
      </c>
      <c r="F970">
        <v>100</v>
      </c>
      <c r="G970">
        <v>67</v>
      </c>
      <c r="H970" t="s">
        <v>13</v>
      </c>
      <c r="I970" t="s">
        <v>14</v>
      </c>
      <c r="J970">
        <v>5</v>
      </c>
      <c r="K970" s="1" t="str">
        <f t="shared" si="45"/>
        <v>18-29</v>
      </c>
      <c r="L970" s="1" t="str">
        <f t="shared" si="46"/>
        <v>Low</v>
      </c>
      <c r="M970" s="1" t="str">
        <f t="shared" si="47"/>
        <v>Yes</v>
      </c>
    </row>
    <row r="971" spans="1:13" x14ac:dyDescent="0.35">
      <c r="A971">
        <v>986</v>
      </c>
      <c r="B971">
        <v>52</v>
      </c>
      <c r="C971" t="s">
        <v>10</v>
      </c>
      <c r="D971" t="s">
        <v>36</v>
      </c>
      <c r="E971" t="s">
        <v>37</v>
      </c>
      <c r="F971">
        <v>800</v>
      </c>
      <c r="G971">
        <v>68</v>
      </c>
      <c r="H971" t="s">
        <v>13</v>
      </c>
      <c r="I971" t="s">
        <v>19</v>
      </c>
      <c r="J971">
        <v>4</v>
      </c>
      <c r="K971" s="1" t="str">
        <f t="shared" si="45"/>
        <v>45-59</v>
      </c>
      <c r="L971" s="1" t="str">
        <f t="shared" si="46"/>
        <v>Low</v>
      </c>
      <c r="M971" s="1" t="str">
        <f t="shared" si="47"/>
        <v>Yes</v>
      </c>
    </row>
    <row r="972" spans="1:13" x14ac:dyDescent="0.35">
      <c r="A972">
        <v>987</v>
      </c>
      <c r="B972">
        <v>67</v>
      </c>
      <c r="C972" t="s">
        <v>15</v>
      </c>
      <c r="D972" t="s">
        <v>38</v>
      </c>
      <c r="E972" t="s">
        <v>39</v>
      </c>
      <c r="F972">
        <v>20000</v>
      </c>
      <c r="G972">
        <v>74</v>
      </c>
      <c r="H972" t="s">
        <v>13</v>
      </c>
      <c r="I972" t="s">
        <v>14</v>
      </c>
      <c r="J972">
        <v>3</v>
      </c>
      <c r="K972" s="1" t="str">
        <f t="shared" si="45"/>
        <v>60-74</v>
      </c>
      <c r="L972" s="1" t="str">
        <f t="shared" si="46"/>
        <v>High</v>
      </c>
      <c r="M972" s="1" t="str">
        <f t="shared" si="47"/>
        <v>No</v>
      </c>
    </row>
    <row r="973" spans="1:13" x14ac:dyDescent="0.35">
      <c r="A973">
        <v>988</v>
      </c>
      <c r="B973">
        <v>35</v>
      </c>
      <c r="C973" t="s">
        <v>10</v>
      </c>
      <c r="D973" t="s">
        <v>40</v>
      </c>
      <c r="E973" t="s">
        <v>41</v>
      </c>
      <c r="F973">
        <v>12000</v>
      </c>
      <c r="G973">
        <v>68</v>
      </c>
      <c r="H973" t="s">
        <v>13</v>
      </c>
      <c r="I973" t="s">
        <v>14</v>
      </c>
      <c r="J973">
        <v>4</v>
      </c>
      <c r="K973" s="1" t="str">
        <f t="shared" si="45"/>
        <v>30-44</v>
      </c>
      <c r="L973" s="1" t="str">
        <f t="shared" si="46"/>
        <v>High</v>
      </c>
      <c r="M973" s="1" t="str">
        <f t="shared" si="47"/>
        <v>Yes</v>
      </c>
    </row>
    <row r="974" spans="1:13" x14ac:dyDescent="0.35">
      <c r="A974">
        <v>989</v>
      </c>
      <c r="B974">
        <v>50</v>
      </c>
      <c r="C974" t="s">
        <v>15</v>
      </c>
      <c r="D974" t="s">
        <v>42</v>
      </c>
      <c r="E974" t="s">
        <v>43</v>
      </c>
      <c r="F974">
        <v>6000</v>
      </c>
      <c r="G974">
        <v>69</v>
      </c>
      <c r="H974" t="s">
        <v>13</v>
      </c>
      <c r="I974" t="s">
        <v>14</v>
      </c>
      <c r="J974">
        <v>3</v>
      </c>
      <c r="K974" s="1" t="str">
        <f t="shared" si="45"/>
        <v>45-59</v>
      </c>
      <c r="L974" s="1" t="str">
        <f t="shared" si="46"/>
        <v>Medium</v>
      </c>
      <c r="M974" s="1" t="str">
        <f t="shared" si="47"/>
        <v>No</v>
      </c>
    </row>
    <row r="975" spans="1:13" x14ac:dyDescent="0.35">
      <c r="A975">
        <v>990</v>
      </c>
      <c r="B975">
        <v>60</v>
      </c>
      <c r="C975" t="s">
        <v>10</v>
      </c>
      <c r="D975" t="s">
        <v>44</v>
      </c>
      <c r="E975" t="s">
        <v>45</v>
      </c>
      <c r="F975">
        <v>4000</v>
      </c>
      <c r="G975">
        <v>70</v>
      </c>
      <c r="H975" t="s">
        <v>13</v>
      </c>
      <c r="I975" t="s">
        <v>19</v>
      </c>
      <c r="J975">
        <v>4</v>
      </c>
      <c r="K975" s="1" t="str">
        <f t="shared" si="45"/>
        <v>60-74</v>
      </c>
      <c r="L975" s="1" t="str">
        <f t="shared" si="46"/>
        <v>Medium</v>
      </c>
      <c r="M975" s="1" t="str">
        <f t="shared" si="47"/>
        <v>Yes</v>
      </c>
    </row>
    <row r="976" spans="1:13" x14ac:dyDescent="0.35">
      <c r="A976">
        <v>991</v>
      </c>
      <c r="B976">
        <v>48</v>
      </c>
      <c r="C976" t="s">
        <v>10</v>
      </c>
      <c r="D976" t="s">
        <v>11</v>
      </c>
      <c r="E976" t="s">
        <v>12</v>
      </c>
      <c r="F976">
        <v>15000</v>
      </c>
      <c r="G976">
        <v>71</v>
      </c>
      <c r="H976" t="s">
        <v>18</v>
      </c>
      <c r="I976" t="s">
        <v>14</v>
      </c>
      <c r="J976">
        <v>4</v>
      </c>
      <c r="K976" s="1" t="str">
        <f t="shared" si="45"/>
        <v>45-59</v>
      </c>
      <c r="L976" s="1" t="str">
        <f t="shared" si="46"/>
        <v>High</v>
      </c>
      <c r="M976" s="1" t="str">
        <f t="shared" si="47"/>
        <v>Yes</v>
      </c>
    </row>
    <row r="977" spans="1:13" x14ac:dyDescent="0.35">
      <c r="A977">
        <v>992</v>
      </c>
      <c r="B977">
        <v>65</v>
      </c>
      <c r="C977" t="s">
        <v>15</v>
      </c>
      <c r="D977" t="s">
        <v>16</v>
      </c>
      <c r="E977" t="s">
        <v>17</v>
      </c>
      <c r="F977">
        <v>2000</v>
      </c>
      <c r="G977">
        <v>69</v>
      </c>
      <c r="H977" t="s">
        <v>13</v>
      </c>
      <c r="I977" t="s">
        <v>19</v>
      </c>
      <c r="J977">
        <v>3</v>
      </c>
      <c r="K977" s="1" t="str">
        <f t="shared" si="45"/>
        <v>60-74</v>
      </c>
      <c r="L977" s="1" t="str">
        <f t="shared" si="46"/>
        <v>Medium</v>
      </c>
      <c r="M977" s="1" t="str">
        <f t="shared" si="47"/>
        <v>No</v>
      </c>
    </row>
    <row r="978" spans="1:13" x14ac:dyDescent="0.35">
      <c r="A978">
        <v>993</v>
      </c>
      <c r="B978">
        <v>30</v>
      </c>
      <c r="C978" t="s">
        <v>10</v>
      </c>
      <c r="D978" t="s">
        <v>20</v>
      </c>
      <c r="E978" t="s">
        <v>21</v>
      </c>
      <c r="F978">
        <v>500</v>
      </c>
      <c r="G978">
        <v>67</v>
      </c>
      <c r="H978" t="s">
        <v>13</v>
      </c>
      <c r="I978" t="s">
        <v>14</v>
      </c>
      <c r="J978">
        <v>5</v>
      </c>
      <c r="K978" s="1" t="str">
        <f t="shared" si="45"/>
        <v>30-44</v>
      </c>
      <c r="L978" s="1" t="str">
        <f t="shared" si="46"/>
        <v>Low</v>
      </c>
      <c r="M978" s="1" t="str">
        <f t="shared" si="47"/>
        <v>Yes</v>
      </c>
    </row>
    <row r="979" spans="1:13" x14ac:dyDescent="0.35">
      <c r="A979">
        <v>994</v>
      </c>
      <c r="B979">
        <v>70</v>
      </c>
      <c r="C979" t="s">
        <v>15</v>
      </c>
      <c r="D979" t="s">
        <v>22</v>
      </c>
      <c r="E979" t="s">
        <v>23</v>
      </c>
      <c r="F979">
        <v>10000</v>
      </c>
      <c r="G979">
        <v>74</v>
      </c>
      <c r="H979" t="s">
        <v>18</v>
      </c>
      <c r="I979" t="s">
        <v>19</v>
      </c>
      <c r="J979">
        <v>2</v>
      </c>
      <c r="K979" s="1" t="str">
        <f t="shared" si="45"/>
        <v>60-74</v>
      </c>
      <c r="L979" s="1" t="str">
        <f t="shared" si="46"/>
        <v>High</v>
      </c>
      <c r="M979" s="1" t="str">
        <f t="shared" si="47"/>
        <v>No</v>
      </c>
    </row>
    <row r="980" spans="1:13" x14ac:dyDescent="0.35">
      <c r="A980">
        <v>995</v>
      </c>
      <c r="B980">
        <v>55</v>
      </c>
      <c r="C980" t="s">
        <v>10</v>
      </c>
      <c r="D980" t="s">
        <v>24</v>
      </c>
      <c r="E980" t="s">
        <v>25</v>
      </c>
      <c r="F980">
        <v>25000</v>
      </c>
      <c r="G980">
        <v>76</v>
      </c>
      <c r="H980" t="s">
        <v>13</v>
      </c>
      <c r="I980" t="s">
        <v>14</v>
      </c>
      <c r="J980">
        <v>4</v>
      </c>
      <c r="K980" s="1" t="str">
        <f t="shared" si="45"/>
        <v>45-59</v>
      </c>
      <c r="L980" s="1" t="str">
        <f t="shared" si="46"/>
        <v>High</v>
      </c>
      <c r="M980" s="1" t="str">
        <f t="shared" si="47"/>
        <v>Yes</v>
      </c>
    </row>
    <row r="981" spans="1:13" x14ac:dyDescent="0.35">
      <c r="A981">
        <v>996</v>
      </c>
      <c r="B981">
        <v>68</v>
      </c>
      <c r="C981" t="s">
        <v>15</v>
      </c>
      <c r="D981" t="s">
        <v>26</v>
      </c>
      <c r="E981" t="s">
        <v>27</v>
      </c>
      <c r="F981">
        <v>1000</v>
      </c>
      <c r="G981">
        <v>70</v>
      </c>
      <c r="H981" t="s">
        <v>13</v>
      </c>
      <c r="I981" t="s">
        <v>19</v>
      </c>
      <c r="J981">
        <v>4</v>
      </c>
      <c r="K981" s="1" t="str">
        <f t="shared" si="45"/>
        <v>60-74</v>
      </c>
      <c r="L981" s="1" t="str">
        <f t="shared" si="46"/>
        <v>Low</v>
      </c>
      <c r="M981" s="1" t="str">
        <f t="shared" si="47"/>
        <v>Yes</v>
      </c>
    </row>
    <row r="982" spans="1:13" x14ac:dyDescent="0.35">
      <c r="A982">
        <v>997</v>
      </c>
      <c r="B982">
        <v>45</v>
      </c>
      <c r="C982" t="s">
        <v>10</v>
      </c>
      <c r="D982" t="s">
        <v>28</v>
      </c>
      <c r="E982" t="s">
        <v>29</v>
      </c>
      <c r="F982">
        <v>8000</v>
      </c>
      <c r="G982">
        <v>72</v>
      </c>
      <c r="H982" t="s">
        <v>13</v>
      </c>
      <c r="I982" t="s">
        <v>14</v>
      </c>
      <c r="J982">
        <v>3</v>
      </c>
      <c r="K982" s="1" t="str">
        <f t="shared" si="45"/>
        <v>45-59</v>
      </c>
      <c r="L982" s="1" t="str">
        <f t="shared" si="46"/>
        <v>Medium</v>
      </c>
      <c r="M982" s="1" t="str">
        <f t="shared" si="47"/>
        <v>No</v>
      </c>
    </row>
    <row r="983" spans="1:13" x14ac:dyDescent="0.35">
      <c r="A983">
        <v>998</v>
      </c>
      <c r="B983">
        <v>40</v>
      </c>
      <c r="C983" t="s">
        <v>15</v>
      </c>
      <c r="D983" t="s">
        <v>30</v>
      </c>
      <c r="E983" t="s">
        <v>31</v>
      </c>
      <c r="F983">
        <v>3000</v>
      </c>
      <c r="G983">
        <v>72</v>
      </c>
      <c r="H983" t="s">
        <v>13</v>
      </c>
      <c r="I983" t="s">
        <v>14</v>
      </c>
      <c r="J983">
        <v>4</v>
      </c>
      <c r="K983" s="1" t="str">
        <f t="shared" si="45"/>
        <v>30-44</v>
      </c>
      <c r="L983" s="1" t="str">
        <f t="shared" si="46"/>
        <v>Medium</v>
      </c>
      <c r="M983" s="1" t="str">
        <f t="shared" si="47"/>
        <v>Yes</v>
      </c>
    </row>
    <row r="984" spans="1:13" x14ac:dyDescent="0.35">
      <c r="A984">
        <v>999</v>
      </c>
      <c r="B984">
        <v>78</v>
      </c>
      <c r="C984" t="s">
        <v>10</v>
      </c>
      <c r="D984" t="s">
        <v>32</v>
      </c>
      <c r="E984" t="s">
        <v>33</v>
      </c>
      <c r="F984">
        <v>18000</v>
      </c>
      <c r="G984">
        <v>74</v>
      </c>
      <c r="H984" t="s">
        <v>18</v>
      </c>
      <c r="I984" t="s">
        <v>19</v>
      </c>
      <c r="J984">
        <v>2</v>
      </c>
      <c r="K984" s="1" t="str">
        <f t="shared" si="45"/>
        <v>75+</v>
      </c>
      <c r="L984" s="1" t="str">
        <f t="shared" si="46"/>
        <v>High</v>
      </c>
      <c r="M984" s="1" t="str">
        <f t="shared" si="47"/>
        <v>No</v>
      </c>
    </row>
    <row r="985" spans="1:13" x14ac:dyDescent="0.35">
      <c r="A985">
        <v>1000</v>
      </c>
      <c r="B985">
        <v>25</v>
      </c>
      <c r="C985" t="s">
        <v>15</v>
      </c>
      <c r="D985" t="s">
        <v>34</v>
      </c>
      <c r="E985" t="s">
        <v>35</v>
      </c>
      <c r="F985">
        <v>100</v>
      </c>
      <c r="G985">
        <v>68</v>
      </c>
      <c r="H985" t="s">
        <v>13</v>
      </c>
      <c r="I985" t="s">
        <v>14</v>
      </c>
      <c r="J985">
        <v>5</v>
      </c>
      <c r="K985" s="1" t="str">
        <f t="shared" si="45"/>
        <v>18-29</v>
      </c>
      <c r="L985" s="1" t="str">
        <f t="shared" si="46"/>
        <v>Low</v>
      </c>
      <c r="M985" s="1" t="str">
        <f t="shared" si="47"/>
        <v>Yes</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6"/>
  <sheetViews>
    <sheetView showGridLines="0" showRowColHeaders="0" workbookViewId="0">
      <selection activeCell="M6" sqref="M6"/>
    </sheetView>
  </sheetViews>
  <sheetFormatPr defaultRowHeight="14.5" x14ac:dyDescent="0.35"/>
  <cols>
    <col min="1" max="1" width="5.08984375" customWidth="1"/>
    <col min="3" max="3" width="14.26953125" customWidth="1"/>
    <col min="6" max="6" width="14.26953125" customWidth="1"/>
    <col min="7" max="7" width="8.7265625" customWidth="1"/>
    <col min="9" max="9" width="14.26953125" customWidth="1"/>
    <col min="12" max="12" width="14.26953125" customWidth="1"/>
    <col min="15" max="15" width="14.26953125" customWidth="1"/>
  </cols>
  <sheetData>
    <row r="1" spans="1:20" ht="25" x14ac:dyDescent="0.7">
      <c r="A1" s="13" t="s">
        <v>82</v>
      </c>
      <c r="B1" s="13"/>
      <c r="C1" s="13"/>
      <c r="D1" s="13"/>
      <c r="E1" s="13"/>
      <c r="F1" s="13"/>
      <c r="G1" s="13"/>
      <c r="H1" s="13"/>
      <c r="I1" s="13"/>
      <c r="J1" s="13"/>
      <c r="K1" s="13"/>
      <c r="L1" s="13"/>
      <c r="M1" s="13"/>
      <c r="N1" s="13"/>
      <c r="O1" s="13"/>
      <c r="P1" s="13"/>
      <c r="Q1" s="13"/>
      <c r="R1" s="13"/>
      <c r="S1" s="22"/>
      <c r="T1" s="22"/>
    </row>
    <row r="3" spans="1:20" ht="21" x14ac:dyDescent="0.55000000000000004">
      <c r="B3" s="14" t="s">
        <v>49</v>
      </c>
      <c r="C3" s="14"/>
      <c r="D3" s="12"/>
      <c r="E3" s="15" t="s">
        <v>83</v>
      </c>
      <c r="F3" s="15"/>
      <c r="G3" s="12"/>
      <c r="H3" s="19" t="s">
        <v>86</v>
      </c>
      <c r="I3" s="19"/>
      <c r="J3" s="12"/>
      <c r="K3" s="15" t="s">
        <v>84</v>
      </c>
      <c r="L3" s="15"/>
      <c r="M3" s="12"/>
      <c r="N3" s="17" t="s">
        <v>85</v>
      </c>
      <c r="O3" s="17"/>
    </row>
    <row r="4" spans="1:20" ht="16.5" x14ac:dyDescent="0.45">
      <c r="B4" s="17">
        <f>'Summary Metrics'!B2</f>
        <v>984</v>
      </c>
      <c r="C4" s="17"/>
      <c r="D4" s="12"/>
      <c r="E4" s="16">
        <f>'Summary Metrics'!F2</f>
        <v>8367.4796747967484</v>
      </c>
      <c r="F4" s="16"/>
      <c r="G4" s="12"/>
      <c r="H4" s="20">
        <f>'Summary Metrics'!B4</f>
        <v>0.26829268292682928</v>
      </c>
      <c r="I4" s="20"/>
      <c r="J4" s="12"/>
      <c r="K4" s="18">
        <f>AVERAGE(Patients!$J:$J)</f>
        <v>3.5985772357723578</v>
      </c>
      <c r="L4" s="18"/>
      <c r="M4" s="12"/>
      <c r="N4" s="21">
        <f>'Summary Metrics'!B5/'Summary Metrics'!B2</f>
        <v>0.60060975609756095</v>
      </c>
      <c r="O4" s="21"/>
    </row>
    <row r="5" spans="1:20" ht="16.5" x14ac:dyDescent="0.45">
      <c r="B5" s="17"/>
      <c r="C5" s="17"/>
      <c r="D5" s="12"/>
      <c r="E5" s="16"/>
      <c r="F5" s="16"/>
      <c r="G5" s="12"/>
      <c r="H5" s="20"/>
      <c r="I5" s="20"/>
      <c r="J5" s="12"/>
      <c r="K5" s="18"/>
      <c r="L5" s="18"/>
      <c r="M5" s="12"/>
      <c r="N5" s="21"/>
      <c r="O5" s="21"/>
    </row>
    <row r="6" spans="1:20" ht="16.5" x14ac:dyDescent="0.45">
      <c r="B6" s="17"/>
      <c r="C6" s="17"/>
      <c r="D6" s="12"/>
      <c r="E6" s="16"/>
      <c r="F6" s="16"/>
      <c r="G6" s="12"/>
      <c r="H6" s="20"/>
      <c r="I6" s="20"/>
      <c r="J6" s="12"/>
      <c r="K6" s="18"/>
      <c r="L6" s="18"/>
      <c r="M6" s="12"/>
      <c r="N6" s="21"/>
      <c r="O6" s="21"/>
    </row>
  </sheetData>
  <mergeCells count="11">
    <mergeCell ref="N3:O3"/>
    <mergeCell ref="N4:O6"/>
    <mergeCell ref="A1:R1"/>
    <mergeCell ref="B3:C3"/>
    <mergeCell ref="B4:C6"/>
    <mergeCell ref="E3:F3"/>
    <mergeCell ref="E4:F6"/>
    <mergeCell ref="H3:I3"/>
    <mergeCell ref="H4:I6"/>
    <mergeCell ref="K3:L3"/>
    <mergeCell ref="K4:L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
  <sheetViews>
    <sheetView workbookViewId="0">
      <selection activeCell="E28" sqref="E28"/>
    </sheetView>
  </sheetViews>
  <sheetFormatPr defaultRowHeight="14.5" x14ac:dyDescent="0.35"/>
  <cols>
    <col min="1" max="1" width="36.26953125" customWidth="1"/>
    <col min="2" max="2" width="16" customWidth="1"/>
    <col min="5" max="5" width="25.81640625" customWidth="1"/>
    <col min="6" max="6" width="11.1796875" bestFit="1" customWidth="1"/>
    <col min="7" max="7" width="11" customWidth="1"/>
  </cols>
  <sheetData>
    <row r="1" spans="1:6" x14ac:dyDescent="0.35">
      <c r="A1" s="3" t="s">
        <v>54</v>
      </c>
      <c r="E1" s="3" t="s">
        <v>55</v>
      </c>
    </row>
    <row r="2" spans="1:6" x14ac:dyDescent="0.35">
      <c r="A2" t="s">
        <v>49</v>
      </c>
      <c r="B2">
        <f>COUNTA(Patients!A2:A985)</f>
        <v>984</v>
      </c>
      <c r="E2" t="s">
        <v>56</v>
      </c>
      <c r="F2" s="4">
        <f>AVERAGE(Patients!F:F)</f>
        <v>8367.4796747967484</v>
      </c>
    </row>
    <row r="3" spans="1:6" x14ac:dyDescent="0.35">
      <c r="A3" t="s">
        <v>50</v>
      </c>
      <c r="B3">
        <f>COUNTIF(Patients!H:H,"Yes")</f>
        <v>264</v>
      </c>
      <c r="E3" t="s">
        <v>58</v>
      </c>
      <c r="F3" s="5">
        <f>AVERAGEIF(Patients!I:I,"Recovered",Patients!J:J)</f>
        <v>3.8358714043993234</v>
      </c>
    </row>
    <row r="4" spans="1:6" x14ac:dyDescent="0.35">
      <c r="A4" t="s">
        <v>51</v>
      </c>
      <c r="B4" s="2">
        <f>B3/B2</f>
        <v>0.26829268292682928</v>
      </c>
      <c r="E4" t="s">
        <v>57</v>
      </c>
      <c r="F4" s="5">
        <f>AVERAGEIF(Patients!I:I,"Stable",Patients!J:J)</f>
        <v>3.2417302798982188</v>
      </c>
    </row>
    <row r="5" spans="1:6" x14ac:dyDescent="0.35">
      <c r="A5" t="s">
        <v>52</v>
      </c>
      <c r="B5">
        <f>COUNTIF(Patients!I:I,"Recovered")</f>
        <v>591</v>
      </c>
      <c r="E5" t="s">
        <v>59</v>
      </c>
      <c r="F5" s="4">
        <f>AVERAGEIF(Patients!C:C,"Female",Patients!F:F)</f>
        <v>10458.015267175573</v>
      </c>
    </row>
    <row r="6" spans="1:6" x14ac:dyDescent="0.35">
      <c r="A6" t="s">
        <v>53</v>
      </c>
      <c r="B6">
        <f>COUNTIF(Patients!C:C,"Female")</f>
        <v>524</v>
      </c>
      <c r="E6" t="s">
        <v>60</v>
      </c>
      <c r="F6" s="4">
        <f>AVERAGEIF(Patients!D:D,"Cancer",Patients!F:F)</f>
        <v>25000</v>
      </c>
    </row>
    <row r="9" spans="1:6" x14ac:dyDescent="0.35">
      <c r="A9" s="3" t="s">
        <v>61</v>
      </c>
      <c r="E9" s="3" t="s">
        <v>65</v>
      </c>
      <c r="F9" s="3" t="s">
        <v>56</v>
      </c>
    </row>
    <row r="10" spans="1:6" x14ac:dyDescent="0.35">
      <c r="A10" s="6" t="s">
        <v>62</v>
      </c>
      <c r="B10">
        <f>COUNTIFS(Patients!C:C,"Female",Patients!H:H,"Yes")</f>
        <v>230</v>
      </c>
      <c r="E10" t="s">
        <v>24</v>
      </c>
      <c r="F10" s="4">
        <f>AVERAGEIF(Patients!D:D,"Cancer",Patients!F:F)</f>
        <v>25000</v>
      </c>
    </row>
    <row r="11" spans="1:6" x14ac:dyDescent="0.35">
      <c r="A11" t="s">
        <v>63</v>
      </c>
      <c r="B11">
        <f>COUNTIFS(Patients!L:L,"High", Patients!I:I,"Stable")</f>
        <v>133</v>
      </c>
      <c r="E11" t="s">
        <v>38</v>
      </c>
      <c r="F11" s="4">
        <f>AVERAGEIF(Patients!D:D,"Prostate Cancer",Patients!F:F)</f>
        <v>20000</v>
      </c>
    </row>
    <row r="12" spans="1:6" x14ac:dyDescent="0.35">
      <c r="A12" s="6" t="s">
        <v>64</v>
      </c>
      <c r="B12">
        <f>COUNTIFS(Patients!B:B, "&gt;=60", Patients!J:J, "&gt;=4")</f>
        <v>162</v>
      </c>
      <c r="E12" t="s">
        <v>32</v>
      </c>
      <c r="F12" s="4">
        <f>AVERAGEIF(Patients!D:D,"Heart Attack",Patients!F:F)</f>
        <v>18000</v>
      </c>
    </row>
    <row r="13" spans="1:6" x14ac:dyDescent="0.35">
      <c r="E13" t="s">
        <v>11</v>
      </c>
      <c r="F13" s="4">
        <f>AVERAGEIF(Patients!D:D,"Heart Disease",Patients!F:F)</f>
        <v>15000</v>
      </c>
    </row>
    <row r="14" spans="1:6" x14ac:dyDescent="0.35">
      <c r="E14" t="s">
        <v>40</v>
      </c>
      <c r="F14" s="4">
        <f>AVERAGEIF(Patients!D:D,"Childbirth",Patients!F:F)</f>
        <v>12000</v>
      </c>
    </row>
    <row r="16" spans="1:6" x14ac:dyDescent="0.35">
      <c r="A16"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4"/>
  <sheetViews>
    <sheetView workbookViewId="0">
      <selection activeCell="I13" sqref="I13"/>
    </sheetView>
  </sheetViews>
  <sheetFormatPr defaultRowHeight="14.5" x14ac:dyDescent="0.35"/>
  <cols>
    <col min="1" max="1" width="18.36328125" customWidth="1"/>
    <col min="2" max="2" width="14" customWidth="1"/>
    <col min="3" max="3" width="13.36328125" customWidth="1"/>
    <col min="5" max="5" width="12.90625" customWidth="1"/>
    <col min="6" max="6" width="19.26953125" customWidth="1"/>
    <col min="7" max="7" width="14" customWidth="1"/>
    <col min="8" max="8" width="10.81640625" customWidth="1"/>
    <col min="9" max="9" width="20.08984375" customWidth="1"/>
    <col min="10" max="10" width="13.36328125" customWidth="1"/>
  </cols>
  <sheetData>
    <row r="1" spans="1:10" ht="18.5" x14ac:dyDescent="0.45">
      <c r="A1" s="11" t="s">
        <v>68</v>
      </c>
      <c r="B1" s="11"/>
      <c r="C1" s="11"/>
      <c r="E1" s="11" t="s">
        <v>70</v>
      </c>
      <c r="F1" s="11"/>
      <c r="H1" s="11" t="s">
        <v>72</v>
      </c>
      <c r="I1" s="11"/>
      <c r="J1" s="11"/>
    </row>
    <row r="3" spans="1:10" x14ac:dyDescent="0.35">
      <c r="A3" s="7" t="s">
        <v>3</v>
      </c>
      <c r="B3" t="s">
        <v>67</v>
      </c>
      <c r="C3" t="s">
        <v>79</v>
      </c>
      <c r="E3" s="7" t="s">
        <v>7</v>
      </c>
      <c r="F3" t="s">
        <v>18</v>
      </c>
      <c r="H3" s="7" t="s">
        <v>8</v>
      </c>
      <c r="I3" s="5" t="s">
        <v>71</v>
      </c>
      <c r="J3" t="s">
        <v>79</v>
      </c>
    </row>
    <row r="4" spans="1:10" x14ac:dyDescent="0.35">
      <c r="A4" s="8" t="s">
        <v>34</v>
      </c>
      <c r="B4" s="9">
        <v>100</v>
      </c>
      <c r="C4" s="9">
        <v>66</v>
      </c>
      <c r="H4" s="8" t="s">
        <v>14</v>
      </c>
      <c r="I4" s="5">
        <v>3.8358714043993234</v>
      </c>
      <c r="J4" s="9">
        <v>591</v>
      </c>
    </row>
    <row r="5" spans="1:10" x14ac:dyDescent="0.35">
      <c r="A5" s="8" t="s">
        <v>20</v>
      </c>
      <c r="B5" s="9">
        <v>500</v>
      </c>
      <c r="C5" s="9">
        <v>66</v>
      </c>
      <c r="E5" s="7" t="s">
        <v>3</v>
      </c>
      <c r="F5" s="10" t="s">
        <v>69</v>
      </c>
      <c r="H5" s="8" t="s">
        <v>19</v>
      </c>
      <c r="I5" s="5">
        <v>3.2417302798982188</v>
      </c>
      <c r="J5" s="9">
        <v>393</v>
      </c>
    </row>
    <row r="6" spans="1:10" x14ac:dyDescent="0.35">
      <c r="A6" s="8" t="s">
        <v>36</v>
      </c>
      <c r="B6" s="9">
        <v>800</v>
      </c>
      <c r="C6" s="9">
        <v>65</v>
      </c>
      <c r="E6" s="8" t="s">
        <v>16</v>
      </c>
      <c r="F6" s="9">
        <v>1</v>
      </c>
      <c r="H6" s="8" t="s">
        <v>66</v>
      </c>
      <c r="I6" s="5">
        <v>3.5985772357723578</v>
      </c>
      <c r="J6" s="9">
        <v>984</v>
      </c>
    </row>
    <row r="7" spans="1:10" x14ac:dyDescent="0.35">
      <c r="A7" s="8" t="s">
        <v>26</v>
      </c>
      <c r="B7" s="9">
        <v>1000</v>
      </c>
      <c r="C7" s="9">
        <v>66</v>
      </c>
      <c r="E7" s="8" t="s">
        <v>20</v>
      </c>
      <c r="F7" s="9">
        <v>33</v>
      </c>
    </row>
    <row r="8" spans="1:10" x14ac:dyDescent="0.35">
      <c r="A8" s="8" t="s">
        <v>16</v>
      </c>
      <c r="B8" s="9">
        <v>2000</v>
      </c>
      <c r="C8" s="9">
        <v>65</v>
      </c>
      <c r="E8" s="8" t="s">
        <v>28</v>
      </c>
      <c r="F8" s="9">
        <v>33</v>
      </c>
    </row>
    <row r="9" spans="1:10" x14ac:dyDescent="0.35">
      <c r="A9" s="8" t="s">
        <v>30</v>
      </c>
      <c r="B9" s="9">
        <v>3000</v>
      </c>
      <c r="C9" s="9">
        <v>67</v>
      </c>
      <c r="E9" s="8" t="s">
        <v>24</v>
      </c>
      <c r="F9" s="9">
        <v>33</v>
      </c>
    </row>
    <row r="10" spans="1:10" x14ac:dyDescent="0.35">
      <c r="A10" s="8" t="s">
        <v>44</v>
      </c>
      <c r="B10" s="9">
        <v>4000</v>
      </c>
      <c r="C10" s="9">
        <v>64</v>
      </c>
      <c r="E10" s="8" t="s">
        <v>22</v>
      </c>
      <c r="F10" s="9">
        <v>33</v>
      </c>
    </row>
    <row r="11" spans="1:10" x14ac:dyDescent="0.35">
      <c r="A11" s="8" t="s">
        <v>42</v>
      </c>
      <c r="B11" s="9">
        <v>6000</v>
      </c>
      <c r="C11" s="9">
        <v>65</v>
      </c>
      <c r="E11" s="8" t="s">
        <v>11</v>
      </c>
      <c r="F11" s="9">
        <v>64</v>
      </c>
    </row>
    <row r="12" spans="1:10" x14ac:dyDescent="0.35">
      <c r="A12" s="8" t="s">
        <v>28</v>
      </c>
      <c r="B12" s="9">
        <v>8000</v>
      </c>
      <c r="C12" s="9">
        <v>66</v>
      </c>
      <c r="E12" s="8" t="s">
        <v>32</v>
      </c>
      <c r="F12" s="9">
        <v>67</v>
      </c>
    </row>
    <row r="13" spans="1:10" x14ac:dyDescent="0.35">
      <c r="A13" s="8" t="s">
        <v>22</v>
      </c>
      <c r="B13" s="9">
        <v>10000</v>
      </c>
      <c r="C13" s="9">
        <v>66</v>
      </c>
      <c r="E13" s="8" t="s">
        <v>66</v>
      </c>
      <c r="F13" s="9">
        <v>264</v>
      </c>
    </row>
    <row r="14" spans="1:10" x14ac:dyDescent="0.35">
      <c r="A14" s="8" t="s">
        <v>40</v>
      </c>
      <c r="B14" s="9">
        <v>12000</v>
      </c>
      <c r="C14" s="9">
        <v>65</v>
      </c>
    </row>
    <row r="15" spans="1:10" x14ac:dyDescent="0.35">
      <c r="A15" s="8" t="s">
        <v>11</v>
      </c>
      <c r="B15" s="9">
        <v>15000</v>
      </c>
      <c r="C15" s="9">
        <v>65</v>
      </c>
    </row>
    <row r="16" spans="1:10" ht="18.5" x14ac:dyDescent="0.45">
      <c r="A16" s="8" t="s">
        <v>32</v>
      </c>
      <c r="B16" s="9">
        <v>18000</v>
      </c>
      <c r="C16" s="9">
        <v>67</v>
      </c>
      <c r="E16" s="11" t="s">
        <v>78</v>
      </c>
      <c r="F16" s="11"/>
      <c r="G16" s="11"/>
      <c r="H16" s="11"/>
    </row>
    <row r="17" spans="1:8" x14ac:dyDescent="0.35">
      <c r="A17" s="8" t="s">
        <v>38</v>
      </c>
      <c r="B17" s="9">
        <v>20000</v>
      </c>
      <c r="C17" s="9">
        <v>65</v>
      </c>
    </row>
    <row r="18" spans="1:8" x14ac:dyDescent="0.35">
      <c r="A18" s="8" t="s">
        <v>24</v>
      </c>
      <c r="B18" s="9">
        <v>25000</v>
      </c>
      <c r="C18" s="9">
        <v>66</v>
      </c>
      <c r="E18" s="7" t="s">
        <v>46</v>
      </c>
      <c r="F18" t="s">
        <v>79</v>
      </c>
      <c r="G18" t="s">
        <v>67</v>
      </c>
      <c r="H18" t="s">
        <v>80</v>
      </c>
    </row>
    <row r="19" spans="1:8" x14ac:dyDescent="0.35">
      <c r="A19" s="8" t="s">
        <v>66</v>
      </c>
      <c r="B19" s="9">
        <v>8367.4796747967484</v>
      </c>
      <c r="C19" s="9">
        <v>984</v>
      </c>
      <c r="E19" s="8" t="s">
        <v>73</v>
      </c>
      <c r="F19" s="9">
        <v>66</v>
      </c>
      <c r="G19" s="9">
        <v>100</v>
      </c>
      <c r="H19" s="9">
        <v>66</v>
      </c>
    </row>
    <row r="20" spans="1:8" x14ac:dyDescent="0.35">
      <c r="E20" s="8" t="s">
        <v>74</v>
      </c>
      <c r="F20" s="9">
        <v>165</v>
      </c>
      <c r="G20" s="9">
        <v>5545.454545454545</v>
      </c>
      <c r="H20" s="9">
        <v>165</v>
      </c>
    </row>
    <row r="21" spans="1:8" x14ac:dyDescent="0.35">
      <c r="E21" s="8" t="s">
        <v>75</v>
      </c>
      <c r="F21" s="9">
        <v>360</v>
      </c>
      <c r="G21" s="9">
        <v>11316.666666666666</v>
      </c>
      <c r="H21" s="9">
        <v>360</v>
      </c>
    </row>
    <row r="22" spans="1:8" x14ac:dyDescent="0.35">
      <c r="E22" s="8" t="s">
        <v>76</v>
      </c>
      <c r="F22" s="9">
        <v>293</v>
      </c>
      <c r="G22" s="9">
        <v>5836.1774744027307</v>
      </c>
      <c r="H22" s="9">
        <v>293</v>
      </c>
    </row>
    <row r="23" spans="1:8" x14ac:dyDescent="0.35">
      <c r="E23" s="8" t="s">
        <v>77</v>
      </c>
      <c r="F23" s="9">
        <v>100</v>
      </c>
      <c r="G23" s="9">
        <v>15280</v>
      </c>
      <c r="H23" s="9">
        <v>100</v>
      </c>
    </row>
    <row r="24" spans="1:8" x14ac:dyDescent="0.35">
      <c r="E24" s="8" t="s">
        <v>66</v>
      </c>
      <c r="F24" s="9">
        <v>984</v>
      </c>
      <c r="G24" s="9">
        <v>8367.4796747967484</v>
      </c>
      <c r="H24" s="9">
        <v>984</v>
      </c>
    </row>
  </sheetData>
  <mergeCells count="4">
    <mergeCell ref="A1:C1"/>
    <mergeCell ref="E1:F1"/>
    <mergeCell ref="H1:J1"/>
    <mergeCell ref="E16:H1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No. of patients by Age Group</vt:lpstr>
      <vt:lpstr>Patients</vt:lpstr>
      <vt:lpstr>DashBoard</vt:lpstr>
      <vt:lpstr>Summary Metrics</vt:lpstr>
      <vt:lpstr>Pivots</vt:lpstr>
      <vt:lpstr>Patients!hospital_data_analysis</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Xolani Mngomezulu</dc:creator>
  <cp:lastModifiedBy>Xolani Mngomezulu</cp:lastModifiedBy>
  <dcterms:created xsi:type="dcterms:W3CDTF">2026-06-07T18:56:07Z</dcterms:created>
  <dcterms:modified xsi:type="dcterms:W3CDTF">2026-06-08T13:36:44Z</dcterms:modified>
</cp:coreProperties>
</file>